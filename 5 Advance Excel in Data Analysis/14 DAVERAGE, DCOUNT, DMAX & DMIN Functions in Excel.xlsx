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27089F83-8CE9-433F-9B26-18ABB1783D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1" l="1"/>
  <c r="S17" i="1"/>
  <c r="S11" i="1"/>
  <c r="S5" i="1"/>
</calcChain>
</file>

<file path=xl/sharedStrings.xml><?xml version="1.0" encoding="utf-8"?>
<sst xmlns="http://schemas.openxmlformats.org/spreadsheetml/2006/main" count="846" uniqueCount="242">
  <si>
    <t>ID</t>
  </si>
  <si>
    <t>First Name</t>
  </si>
  <si>
    <t>Last Name</t>
  </si>
  <si>
    <t>Gender</t>
  </si>
  <si>
    <t>Country</t>
  </si>
  <si>
    <t>State</t>
  </si>
  <si>
    <t>City</t>
  </si>
  <si>
    <t>Department</t>
  </si>
  <si>
    <t>Salary</t>
  </si>
  <si>
    <t>Experience</t>
  </si>
  <si>
    <t>Joining Date</t>
  </si>
  <si>
    <t>Performance</t>
  </si>
  <si>
    <t>Email</t>
  </si>
  <si>
    <t>Phone</t>
  </si>
  <si>
    <t>Aakash</t>
  </si>
  <si>
    <t>Sharma</t>
  </si>
  <si>
    <t>Male</t>
  </si>
  <si>
    <t>India</t>
  </si>
  <si>
    <t>Uttar Pradesh</t>
  </si>
  <si>
    <t>Lucknow</t>
  </si>
  <si>
    <t>IT</t>
  </si>
  <si>
    <t>aakash.sharma@example.com</t>
  </si>
  <si>
    <t>Priya</t>
  </si>
  <si>
    <t>Singh</t>
  </si>
  <si>
    <t>Female</t>
  </si>
  <si>
    <t>Maharashtra</t>
  </si>
  <si>
    <t>Mumbai</t>
  </si>
  <si>
    <t>HR</t>
  </si>
  <si>
    <t>priya.singh@example.com</t>
  </si>
  <si>
    <t>Rahul</t>
  </si>
  <si>
    <t>Verma</t>
  </si>
  <si>
    <t>Delhi</t>
  </si>
  <si>
    <t>New Delhi</t>
  </si>
  <si>
    <t>Finance</t>
  </si>
  <si>
    <t>rahul.verma@example.com</t>
  </si>
  <si>
    <t>Neha</t>
  </si>
  <si>
    <t>Gupta</t>
  </si>
  <si>
    <t>Karnataka</t>
  </si>
  <si>
    <t>Bengaluru</t>
  </si>
  <si>
    <t>Marketing</t>
  </si>
  <si>
    <t>neha.gupta@example.com</t>
  </si>
  <si>
    <t>Amit</t>
  </si>
  <si>
    <t>Kumar</t>
  </si>
  <si>
    <t>Kanpur</t>
  </si>
  <si>
    <t>Sales</t>
  </si>
  <si>
    <t>amit.kumar@example.com</t>
  </si>
  <si>
    <t>Sneha</t>
  </si>
  <si>
    <t>Yadav</t>
  </si>
  <si>
    <t>Rajasthan</t>
  </si>
  <si>
    <t>Jaipur</t>
  </si>
  <si>
    <t>sneha.yadav@example.com</t>
  </si>
  <si>
    <t>Rohit</t>
  </si>
  <si>
    <t>Mehta</t>
  </si>
  <si>
    <t>Gujarat</t>
  </si>
  <si>
    <t>Ahmedabad</t>
  </si>
  <si>
    <t>Operations</t>
  </si>
  <si>
    <t>rohit.mehta@example.com</t>
  </si>
  <si>
    <t>Anjali</t>
  </si>
  <si>
    <t>Punjab</t>
  </si>
  <si>
    <t>Chandigarh</t>
  </si>
  <si>
    <t>anjali.sharma@example.com</t>
  </si>
  <si>
    <t>Vikash</t>
  </si>
  <si>
    <t>Bihar</t>
  </si>
  <si>
    <t>Patna</t>
  </si>
  <si>
    <t>vikash.singh@example.com</t>
  </si>
  <si>
    <t>Pooja</t>
  </si>
  <si>
    <t>Haryana</t>
  </si>
  <si>
    <t>Gurugram</t>
  </si>
  <si>
    <t>pooja.verma@example.com</t>
  </si>
  <si>
    <t>Karan</t>
  </si>
  <si>
    <t>Malhotra</t>
  </si>
  <si>
    <t>karan.malhotra@example.com</t>
  </si>
  <si>
    <t>Riya</t>
  </si>
  <si>
    <t>Kapoor</t>
  </si>
  <si>
    <t>Pune</t>
  </si>
  <si>
    <t>riya.kapoor@example.com</t>
  </si>
  <si>
    <t>Mohit</t>
  </si>
  <si>
    <t>Agarwal</t>
  </si>
  <si>
    <t>Noida</t>
  </si>
  <si>
    <t>mohit.agarwal@example.com</t>
  </si>
  <si>
    <t>Simran</t>
  </si>
  <si>
    <t>Kaur</t>
  </si>
  <si>
    <t>Amritsar</t>
  </si>
  <si>
    <t>simran.kaur@example.com</t>
  </si>
  <si>
    <t>Deepak</t>
  </si>
  <si>
    <t>Mishra</t>
  </si>
  <si>
    <t>Prayagraj</t>
  </si>
  <si>
    <t>deepak.mishra@example.com</t>
  </si>
  <si>
    <t>Nisha</t>
  </si>
  <si>
    <t>Patel</t>
  </si>
  <si>
    <t>Surat</t>
  </si>
  <si>
    <t>nisha.patel@example.com</t>
  </si>
  <si>
    <t>Arjun</t>
  </si>
  <si>
    <t>Reddy</t>
  </si>
  <si>
    <t>Telangana</t>
  </si>
  <si>
    <t>Hyderabad</t>
  </si>
  <si>
    <t>arjun.reddy@example.com</t>
  </si>
  <si>
    <t>Kavita</t>
  </si>
  <si>
    <t>Joshi</t>
  </si>
  <si>
    <t>Uttarakhand</t>
  </si>
  <si>
    <t>Dehradun</t>
  </si>
  <si>
    <t>kavita.joshi@example.com</t>
  </si>
  <si>
    <t>Saurabh</t>
  </si>
  <si>
    <t>Madhya Pradesh</t>
  </si>
  <si>
    <t>Bhopal</t>
  </si>
  <si>
    <t>saurabh.gupta@example.com</t>
  </si>
  <si>
    <t>Tanya</t>
  </si>
  <si>
    <t>tanya.sharma@example.com</t>
  </si>
  <si>
    <t>Manish</t>
  </si>
  <si>
    <t>Gaya</t>
  </si>
  <si>
    <t>manish.kumar@example.com</t>
  </si>
  <si>
    <t>Divya</t>
  </si>
  <si>
    <t>Agra</t>
  </si>
  <si>
    <t>divya.singh@example.com</t>
  </si>
  <si>
    <t>Varun</t>
  </si>
  <si>
    <t>Bansal</t>
  </si>
  <si>
    <t>Faridabad</t>
  </si>
  <si>
    <t>varun.bansal@example.com</t>
  </si>
  <si>
    <t>Shweta</t>
  </si>
  <si>
    <t>Jain</t>
  </si>
  <si>
    <t>Indore</t>
  </si>
  <si>
    <t>shweta.jain@example.com</t>
  </si>
  <si>
    <t>Raj</t>
  </si>
  <si>
    <t>Varanasi</t>
  </si>
  <si>
    <t>raj.yadav@example.com</t>
  </si>
  <si>
    <t>Meera</t>
  </si>
  <si>
    <t>Nair</t>
  </si>
  <si>
    <t>Kerala</t>
  </si>
  <si>
    <t>Kochi</t>
  </si>
  <si>
    <t>meera.nair@example.com</t>
  </si>
  <si>
    <t>Ajay</t>
  </si>
  <si>
    <t>Thakur</t>
  </si>
  <si>
    <t>Himachal Pradesh</t>
  </si>
  <si>
    <t>Shimla</t>
  </si>
  <si>
    <t>ajay.thakur@example.com</t>
  </si>
  <si>
    <t>Priti</t>
  </si>
  <si>
    <t>Sinha</t>
  </si>
  <si>
    <t>priti.sinha@example.com</t>
  </si>
  <si>
    <t>Nitin</t>
  </si>
  <si>
    <t>Choudhary</t>
  </si>
  <si>
    <t>Jodhpur</t>
  </si>
  <si>
    <t>nitin.choudhary@example.com</t>
  </si>
  <si>
    <t>Aarti</t>
  </si>
  <si>
    <t>Mehra</t>
  </si>
  <si>
    <t>aarti.mehra@example.com</t>
  </si>
  <si>
    <t>Sumit</t>
  </si>
  <si>
    <t>Saxena</t>
  </si>
  <si>
    <t>sumit.saxena@example.com</t>
  </si>
  <si>
    <t>Isha</t>
  </si>
  <si>
    <t>isha.kapoor@example.com</t>
  </si>
  <si>
    <t>Rakesh</t>
  </si>
  <si>
    <t>Pandey</t>
  </si>
  <si>
    <t>rakesh.pandey@example.com</t>
  </si>
  <si>
    <t>Komal</t>
  </si>
  <si>
    <t>Vadodara</t>
  </si>
  <si>
    <t>komal.sharma@example.com</t>
  </si>
  <si>
    <t>Gaurav</t>
  </si>
  <si>
    <t>Ludhiana</t>
  </si>
  <si>
    <t>gaurav.singh@example.com</t>
  </si>
  <si>
    <t>Muskan</t>
  </si>
  <si>
    <t>muskan.verma@example.com</t>
  </si>
  <si>
    <t>Abhishek</t>
  </si>
  <si>
    <t>Tiwari</t>
  </si>
  <si>
    <t>abhishek.tiwari@example.com</t>
  </si>
  <si>
    <t>Sakshi</t>
  </si>
  <si>
    <t>Udaipur</t>
  </si>
  <si>
    <t>sakshi.gupta@example.com</t>
  </si>
  <si>
    <t>Yash</t>
  </si>
  <si>
    <t>yash.agarwal@example.com</t>
  </si>
  <si>
    <t>Preeti</t>
  </si>
  <si>
    <t>Meerut</t>
  </si>
  <si>
    <t>preeti.yadav@example.com</t>
  </si>
  <si>
    <t>Harsh</t>
  </si>
  <si>
    <t>Vardhan</t>
  </si>
  <si>
    <t>harsh.vardhan@example.com</t>
  </si>
  <si>
    <t>Renu</t>
  </si>
  <si>
    <t>renu.sharma@example.com</t>
  </si>
  <si>
    <t>Ankit</t>
  </si>
  <si>
    <t>ankit.mishra@example.com</t>
  </si>
  <si>
    <t>Sonam</t>
  </si>
  <si>
    <t>sonam.gupta@example.com</t>
  </si>
  <si>
    <t>Tarun</t>
  </si>
  <si>
    <t>tarun.kumar@example.com</t>
  </si>
  <si>
    <t>Payal</t>
  </si>
  <si>
    <t>payal.singh@example.com</t>
  </si>
  <si>
    <t>Naveen</t>
  </si>
  <si>
    <t>naveen.joshi@example.com</t>
  </si>
  <si>
    <t>Shalini</t>
  </si>
  <si>
    <t>shalini.patel@example.com</t>
  </si>
  <si>
    <t>Dev</t>
  </si>
  <si>
    <t>dev.sharma@example.com</t>
  </si>
  <si>
    <t>Ritu</t>
  </si>
  <si>
    <t>ritu.singh@example.com</t>
  </si>
  <si>
    <t>Varsha</t>
  </si>
  <si>
    <t>Nagpur</t>
  </si>
  <si>
    <t>varsha.gupta@example.com</t>
  </si>
  <si>
    <t>Pankaj</t>
  </si>
  <si>
    <t>pankaj.verma@example.com</t>
  </si>
  <si>
    <t>Alok</t>
  </si>
  <si>
    <t>Muzaffarpur</t>
  </si>
  <si>
    <t>alok.singh@example.com</t>
  </si>
  <si>
    <t>Monika</t>
  </si>
  <si>
    <t>monika.jain@example.com</t>
  </si>
  <si>
    <t>Sameer</t>
  </si>
  <si>
    <t>Khan</t>
  </si>
  <si>
    <t>sameer.khan@example.com</t>
  </si>
  <si>
    <t>Rachna</t>
  </si>
  <si>
    <t>rachna.tiwari@example.com</t>
  </si>
  <si>
    <t>Vikas</t>
  </si>
  <si>
    <t>Kota</t>
  </si>
  <si>
    <t>vikas.yadav@example.com</t>
  </si>
  <si>
    <t>Nandini</t>
  </si>
  <si>
    <t>Rao</t>
  </si>
  <si>
    <t>nandini.rao@example.com</t>
  </si>
  <si>
    <t>Sandeep</t>
  </si>
  <si>
    <t>sandeep.kumar@example.com</t>
  </si>
  <si>
    <t>Bhavna</t>
  </si>
  <si>
    <t>bhavna.sharma@example.com</t>
  </si>
  <si>
    <t>Rohan</t>
  </si>
  <si>
    <t>rohan.mehta@example.com</t>
  </si>
  <si>
    <t>Tina</t>
  </si>
  <si>
    <t>tina.verma@example.com</t>
  </si>
  <si>
    <t>Manav</t>
  </si>
  <si>
    <t>manav.gupta@example.com</t>
  </si>
  <si>
    <t>Juhi</t>
  </si>
  <si>
    <t>juhi.singh@example.com</t>
  </si>
  <si>
    <t>Anurag</t>
  </si>
  <si>
    <t>anurag.mishra@example.com</t>
  </si>
  <si>
    <t>Pallavi</t>
  </si>
  <si>
    <t>pallavi.joshi@example.com</t>
  </si>
  <si>
    <t>Chirag</t>
  </si>
  <si>
    <t>chirag.patel@example.com</t>
  </si>
  <si>
    <t>Sonia</t>
  </si>
  <si>
    <t>sonia.kapoor@example.com</t>
  </si>
  <si>
    <t>Akash</t>
  </si>
  <si>
    <t>akash.reddy@example.com</t>
  </si>
  <si>
    <t>Garima</t>
  </si>
  <si>
    <t>garima.sinha@example.com</t>
  </si>
  <si>
    <t>DAVERAGE</t>
  </si>
  <si>
    <t>DCOUNT</t>
  </si>
  <si>
    <t>DMAX</t>
  </si>
  <si>
    <t>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</si>
</sst>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2" fillId="0" borderId="10" xfId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CBAEB-F04B-4A82-B41F-9B24BF6BFA05}" name="Table1" displayName="Table1" ref="A1:N101" totalsRowShown="0" headerRowDxfId="0" dataDxfId="18" headerRowBorderDxfId="16" tableBorderDxfId="17" totalsRowBorderDxfId="15">
  <tableColumns count="14">
    <tableColumn id="1" xr3:uid="{A710B52A-BAC6-42AF-A405-B3CA923DBA7A}" name="ID" dataDxfId="14"/>
    <tableColumn id="2" xr3:uid="{9F37A8EE-F88A-4955-87DB-7961AF6612AA}" name="First Name" dataDxfId="13"/>
    <tableColumn id="3" xr3:uid="{C241BE31-D20E-43AA-AAEF-FCCC5E36D2E1}" name="Last Name" dataDxfId="12"/>
    <tableColumn id="4" xr3:uid="{0815FDBE-7635-4010-91FE-83785B8083FB}" name="Gender" dataDxfId="11"/>
    <tableColumn id="5" xr3:uid="{60FC9C9C-51B9-465B-8C3B-2BB58E51C201}" name="Country" dataDxfId="10"/>
    <tableColumn id="6" xr3:uid="{CE336D34-84D5-42FF-8C6F-640E11CE31BB}" name="State" dataDxfId="9"/>
    <tableColumn id="7" xr3:uid="{E37BC5E2-3319-41F2-98BA-199DE3996A6B}" name="City" dataDxfId="8"/>
    <tableColumn id="8" xr3:uid="{E82EFA94-188E-40E8-98B2-E280103EB7AE}" name="Department" dataDxfId="7"/>
    <tableColumn id="9" xr3:uid="{09AC83B6-2759-4A5A-8B3B-29C831575FD8}" name="Salary" dataDxfId="6"/>
    <tableColumn id="10" xr3:uid="{D45FDCA8-837B-4FD1-AAEA-9CB910255D2B}" name="Experience" dataDxfId="5"/>
    <tableColumn id="11" xr3:uid="{67D13869-F76D-431A-BFC3-2B7105428DF0}" name="Joining Date" dataDxfId="4"/>
    <tableColumn id="12" xr3:uid="{7F128345-8204-447D-A75D-575906C5E18C}" name="Performance" dataDxfId="3"/>
    <tableColumn id="13" xr3:uid="{D48FA254-58FE-4D34-A6D8-879F59606B47}" name="Email" dataDxfId="2" dataCellStyle="Hyperlink"/>
    <tableColumn id="14" xr3:uid="{57922AEF-35EA-4310-8BE8-14FCB2C6BE4C}" name="Phone" dataDxfId="1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era.nair@example.com" TargetMode="External"/><Relationship Id="rId21" Type="http://schemas.openxmlformats.org/officeDocument/2006/relationships/hyperlink" Target="mailto:manish.kumar@example.com" TargetMode="External"/><Relationship Id="rId42" Type="http://schemas.openxmlformats.org/officeDocument/2006/relationships/hyperlink" Target="mailto:renu.sharma@example.com" TargetMode="External"/><Relationship Id="rId47" Type="http://schemas.openxmlformats.org/officeDocument/2006/relationships/hyperlink" Target="mailto:naveen.joshi@example.com" TargetMode="External"/><Relationship Id="rId63" Type="http://schemas.openxmlformats.org/officeDocument/2006/relationships/hyperlink" Target="mailto:manav.gupta@example.com" TargetMode="External"/><Relationship Id="rId68" Type="http://schemas.openxmlformats.org/officeDocument/2006/relationships/hyperlink" Target="mailto:sonia.kapoor@example.com" TargetMode="External"/><Relationship Id="rId84" Type="http://schemas.openxmlformats.org/officeDocument/2006/relationships/hyperlink" Target="mailto:simran.kaur@example.com" TargetMode="External"/><Relationship Id="rId89" Type="http://schemas.openxmlformats.org/officeDocument/2006/relationships/hyperlink" Target="mailto:saurabh.gupta@example.com" TargetMode="External"/><Relationship Id="rId16" Type="http://schemas.openxmlformats.org/officeDocument/2006/relationships/hyperlink" Target="mailto:nisha.patel@example.com" TargetMode="External"/><Relationship Id="rId11" Type="http://schemas.openxmlformats.org/officeDocument/2006/relationships/hyperlink" Target="mailto:karan.malhotra@example.com" TargetMode="External"/><Relationship Id="rId32" Type="http://schemas.openxmlformats.org/officeDocument/2006/relationships/hyperlink" Target="mailto:isha.kapoor@example.com" TargetMode="External"/><Relationship Id="rId37" Type="http://schemas.openxmlformats.org/officeDocument/2006/relationships/hyperlink" Target="mailto:abhishek.tiwari@example.com" TargetMode="External"/><Relationship Id="rId53" Type="http://schemas.openxmlformats.org/officeDocument/2006/relationships/hyperlink" Target="mailto:alok.singh@example.com" TargetMode="External"/><Relationship Id="rId58" Type="http://schemas.openxmlformats.org/officeDocument/2006/relationships/hyperlink" Target="mailto:nandini.rao@example.com" TargetMode="External"/><Relationship Id="rId74" Type="http://schemas.openxmlformats.org/officeDocument/2006/relationships/hyperlink" Target="mailto:neha.gupta@example.com" TargetMode="External"/><Relationship Id="rId79" Type="http://schemas.openxmlformats.org/officeDocument/2006/relationships/hyperlink" Target="mailto:vikash.singh@example.com" TargetMode="External"/><Relationship Id="rId5" Type="http://schemas.openxmlformats.org/officeDocument/2006/relationships/hyperlink" Target="mailto:amit.kumar@example.com" TargetMode="External"/><Relationship Id="rId90" Type="http://schemas.openxmlformats.org/officeDocument/2006/relationships/hyperlink" Target="mailto:tanya.sharma@example.com" TargetMode="External"/><Relationship Id="rId95" Type="http://schemas.openxmlformats.org/officeDocument/2006/relationships/hyperlink" Target="mailto:raj.yadav@example.com" TargetMode="External"/><Relationship Id="rId22" Type="http://schemas.openxmlformats.org/officeDocument/2006/relationships/hyperlink" Target="mailto:divya.singh@example.com" TargetMode="External"/><Relationship Id="rId27" Type="http://schemas.openxmlformats.org/officeDocument/2006/relationships/hyperlink" Target="mailto:ajay.thakur@example.com" TargetMode="External"/><Relationship Id="rId43" Type="http://schemas.openxmlformats.org/officeDocument/2006/relationships/hyperlink" Target="mailto:ankit.mishra@example.com" TargetMode="External"/><Relationship Id="rId48" Type="http://schemas.openxmlformats.org/officeDocument/2006/relationships/hyperlink" Target="mailto:shalini.patel@example.com" TargetMode="External"/><Relationship Id="rId64" Type="http://schemas.openxmlformats.org/officeDocument/2006/relationships/hyperlink" Target="mailto:juhi.singh@example.com" TargetMode="External"/><Relationship Id="rId69" Type="http://schemas.openxmlformats.org/officeDocument/2006/relationships/hyperlink" Target="mailto:akash.reddy@example.com" TargetMode="External"/><Relationship Id="rId80" Type="http://schemas.openxmlformats.org/officeDocument/2006/relationships/hyperlink" Target="mailto:pooja.verma@example.com" TargetMode="External"/><Relationship Id="rId85" Type="http://schemas.openxmlformats.org/officeDocument/2006/relationships/hyperlink" Target="mailto:deepak.mishra@example.com" TargetMode="External"/><Relationship Id="rId12" Type="http://schemas.openxmlformats.org/officeDocument/2006/relationships/hyperlink" Target="mailto:riya.kapoor@example.com" TargetMode="External"/><Relationship Id="rId17" Type="http://schemas.openxmlformats.org/officeDocument/2006/relationships/hyperlink" Target="mailto:arjun.reddy@example.com" TargetMode="External"/><Relationship Id="rId25" Type="http://schemas.openxmlformats.org/officeDocument/2006/relationships/hyperlink" Target="mailto:raj.yadav@example.com" TargetMode="External"/><Relationship Id="rId33" Type="http://schemas.openxmlformats.org/officeDocument/2006/relationships/hyperlink" Target="mailto:rakesh.pandey@example.com" TargetMode="External"/><Relationship Id="rId38" Type="http://schemas.openxmlformats.org/officeDocument/2006/relationships/hyperlink" Target="mailto:sakshi.gupta@example.com" TargetMode="External"/><Relationship Id="rId46" Type="http://schemas.openxmlformats.org/officeDocument/2006/relationships/hyperlink" Target="mailto:payal.singh@example.com" TargetMode="External"/><Relationship Id="rId59" Type="http://schemas.openxmlformats.org/officeDocument/2006/relationships/hyperlink" Target="mailto:sandeep.kumar@example.com" TargetMode="External"/><Relationship Id="rId67" Type="http://schemas.openxmlformats.org/officeDocument/2006/relationships/hyperlink" Target="mailto:chirag.patel@example.com" TargetMode="External"/><Relationship Id="rId20" Type="http://schemas.openxmlformats.org/officeDocument/2006/relationships/hyperlink" Target="mailto:tanya.sharma@example.com" TargetMode="External"/><Relationship Id="rId41" Type="http://schemas.openxmlformats.org/officeDocument/2006/relationships/hyperlink" Target="mailto:harsh.vardhan@example.com" TargetMode="External"/><Relationship Id="rId54" Type="http://schemas.openxmlformats.org/officeDocument/2006/relationships/hyperlink" Target="mailto:monika.jain@example.com" TargetMode="External"/><Relationship Id="rId62" Type="http://schemas.openxmlformats.org/officeDocument/2006/relationships/hyperlink" Target="mailto:tina.verma@example.com" TargetMode="External"/><Relationship Id="rId70" Type="http://schemas.openxmlformats.org/officeDocument/2006/relationships/hyperlink" Target="mailto:garima.sinha@example.com" TargetMode="External"/><Relationship Id="rId75" Type="http://schemas.openxmlformats.org/officeDocument/2006/relationships/hyperlink" Target="mailto:amit.kumar@example.com" TargetMode="External"/><Relationship Id="rId83" Type="http://schemas.openxmlformats.org/officeDocument/2006/relationships/hyperlink" Target="mailto:mohit.agarwal@example.com" TargetMode="External"/><Relationship Id="rId88" Type="http://schemas.openxmlformats.org/officeDocument/2006/relationships/hyperlink" Target="mailto:kavita.joshi@example.com" TargetMode="External"/><Relationship Id="rId91" Type="http://schemas.openxmlformats.org/officeDocument/2006/relationships/hyperlink" Target="mailto:manish.kumar@example.com" TargetMode="External"/><Relationship Id="rId96" Type="http://schemas.openxmlformats.org/officeDocument/2006/relationships/hyperlink" Target="mailto:meera.nair@example.com" TargetMode="External"/><Relationship Id="rId1" Type="http://schemas.openxmlformats.org/officeDocument/2006/relationships/hyperlink" Target="mailto:aakash.sharma@example.com" TargetMode="External"/><Relationship Id="rId6" Type="http://schemas.openxmlformats.org/officeDocument/2006/relationships/hyperlink" Target="mailto:sneha.yadav@example.com" TargetMode="External"/><Relationship Id="rId15" Type="http://schemas.openxmlformats.org/officeDocument/2006/relationships/hyperlink" Target="mailto:deepak.mishra@example.com" TargetMode="External"/><Relationship Id="rId23" Type="http://schemas.openxmlformats.org/officeDocument/2006/relationships/hyperlink" Target="mailto:varun.bansal@example.com" TargetMode="External"/><Relationship Id="rId28" Type="http://schemas.openxmlformats.org/officeDocument/2006/relationships/hyperlink" Target="mailto:priti.sinha@example.com" TargetMode="External"/><Relationship Id="rId36" Type="http://schemas.openxmlformats.org/officeDocument/2006/relationships/hyperlink" Target="mailto:muskan.verma@example.com" TargetMode="External"/><Relationship Id="rId49" Type="http://schemas.openxmlformats.org/officeDocument/2006/relationships/hyperlink" Target="mailto:dev.sharma@example.com" TargetMode="External"/><Relationship Id="rId57" Type="http://schemas.openxmlformats.org/officeDocument/2006/relationships/hyperlink" Target="mailto:vikas.yadav@example.com" TargetMode="External"/><Relationship Id="rId10" Type="http://schemas.openxmlformats.org/officeDocument/2006/relationships/hyperlink" Target="mailto:pooja.verma@example.com" TargetMode="External"/><Relationship Id="rId31" Type="http://schemas.openxmlformats.org/officeDocument/2006/relationships/hyperlink" Target="mailto:sumit.saxena@example.com" TargetMode="External"/><Relationship Id="rId44" Type="http://schemas.openxmlformats.org/officeDocument/2006/relationships/hyperlink" Target="mailto:sonam.gupta@example.com" TargetMode="External"/><Relationship Id="rId52" Type="http://schemas.openxmlformats.org/officeDocument/2006/relationships/hyperlink" Target="mailto:pankaj.verma@example.com" TargetMode="External"/><Relationship Id="rId60" Type="http://schemas.openxmlformats.org/officeDocument/2006/relationships/hyperlink" Target="mailto:bhavna.sharma@example.com" TargetMode="External"/><Relationship Id="rId65" Type="http://schemas.openxmlformats.org/officeDocument/2006/relationships/hyperlink" Target="mailto:anurag.mishra@example.com" TargetMode="External"/><Relationship Id="rId73" Type="http://schemas.openxmlformats.org/officeDocument/2006/relationships/hyperlink" Target="mailto:rahul.verma@example.com" TargetMode="External"/><Relationship Id="rId78" Type="http://schemas.openxmlformats.org/officeDocument/2006/relationships/hyperlink" Target="mailto:anjali.sharma@example.com" TargetMode="External"/><Relationship Id="rId81" Type="http://schemas.openxmlformats.org/officeDocument/2006/relationships/hyperlink" Target="mailto:karan.malhotra@example.com" TargetMode="External"/><Relationship Id="rId86" Type="http://schemas.openxmlformats.org/officeDocument/2006/relationships/hyperlink" Target="mailto:nisha.patel@example.com" TargetMode="External"/><Relationship Id="rId94" Type="http://schemas.openxmlformats.org/officeDocument/2006/relationships/hyperlink" Target="mailto:shweta.jain@example.com" TargetMode="External"/><Relationship Id="rId99" Type="http://schemas.openxmlformats.org/officeDocument/2006/relationships/hyperlink" Target="mailto:nitin.choudhary@example.com" TargetMode="External"/><Relationship Id="rId101" Type="http://schemas.openxmlformats.org/officeDocument/2006/relationships/table" Target="../tables/table1.xml"/><Relationship Id="rId4" Type="http://schemas.openxmlformats.org/officeDocument/2006/relationships/hyperlink" Target="mailto:neha.gupta@example.com" TargetMode="External"/><Relationship Id="rId9" Type="http://schemas.openxmlformats.org/officeDocument/2006/relationships/hyperlink" Target="mailto:vikash.singh@example.com" TargetMode="External"/><Relationship Id="rId13" Type="http://schemas.openxmlformats.org/officeDocument/2006/relationships/hyperlink" Target="mailto:mohit.agarwal@example.com" TargetMode="External"/><Relationship Id="rId18" Type="http://schemas.openxmlformats.org/officeDocument/2006/relationships/hyperlink" Target="mailto:kavita.joshi@example.com" TargetMode="External"/><Relationship Id="rId39" Type="http://schemas.openxmlformats.org/officeDocument/2006/relationships/hyperlink" Target="mailto:yash.agarwal@example.com" TargetMode="External"/><Relationship Id="rId34" Type="http://schemas.openxmlformats.org/officeDocument/2006/relationships/hyperlink" Target="mailto:komal.sharma@example.com" TargetMode="External"/><Relationship Id="rId50" Type="http://schemas.openxmlformats.org/officeDocument/2006/relationships/hyperlink" Target="mailto:ritu.singh@example.com" TargetMode="External"/><Relationship Id="rId55" Type="http://schemas.openxmlformats.org/officeDocument/2006/relationships/hyperlink" Target="mailto:sameer.khan@example.com" TargetMode="External"/><Relationship Id="rId76" Type="http://schemas.openxmlformats.org/officeDocument/2006/relationships/hyperlink" Target="mailto:sneha.yadav@example.com" TargetMode="External"/><Relationship Id="rId97" Type="http://schemas.openxmlformats.org/officeDocument/2006/relationships/hyperlink" Target="mailto:ajay.thakur@example.com" TargetMode="External"/><Relationship Id="rId7" Type="http://schemas.openxmlformats.org/officeDocument/2006/relationships/hyperlink" Target="mailto:rohit.mehta@example.com" TargetMode="External"/><Relationship Id="rId71" Type="http://schemas.openxmlformats.org/officeDocument/2006/relationships/hyperlink" Target="mailto:aakash.sharma@example.com" TargetMode="External"/><Relationship Id="rId92" Type="http://schemas.openxmlformats.org/officeDocument/2006/relationships/hyperlink" Target="mailto:divya.singh@example.com" TargetMode="External"/><Relationship Id="rId2" Type="http://schemas.openxmlformats.org/officeDocument/2006/relationships/hyperlink" Target="mailto:priya.singh@example.com" TargetMode="External"/><Relationship Id="rId29" Type="http://schemas.openxmlformats.org/officeDocument/2006/relationships/hyperlink" Target="mailto:nitin.choudhary@example.com" TargetMode="External"/><Relationship Id="rId24" Type="http://schemas.openxmlformats.org/officeDocument/2006/relationships/hyperlink" Target="mailto:shweta.jain@example.com" TargetMode="External"/><Relationship Id="rId40" Type="http://schemas.openxmlformats.org/officeDocument/2006/relationships/hyperlink" Target="mailto:preeti.yadav@example.com" TargetMode="External"/><Relationship Id="rId45" Type="http://schemas.openxmlformats.org/officeDocument/2006/relationships/hyperlink" Target="mailto:tarun.kumar@example.com" TargetMode="External"/><Relationship Id="rId66" Type="http://schemas.openxmlformats.org/officeDocument/2006/relationships/hyperlink" Target="mailto:pallavi.joshi@example.com" TargetMode="External"/><Relationship Id="rId87" Type="http://schemas.openxmlformats.org/officeDocument/2006/relationships/hyperlink" Target="mailto:arjun.reddy@example.com" TargetMode="External"/><Relationship Id="rId61" Type="http://schemas.openxmlformats.org/officeDocument/2006/relationships/hyperlink" Target="mailto:rohan.mehta@example.com" TargetMode="External"/><Relationship Id="rId82" Type="http://schemas.openxmlformats.org/officeDocument/2006/relationships/hyperlink" Target="mailto:riya.kapoor@example.com" TargetMode="External"/><Relationship Id="rId19" Type="http://schemas.openxmlformats.org/officeDocument/2006/relationships/hyperlink" Target="mailto:saurabh.gupta@example.com" TargetMode="External"/><Relationship Id="rId14" Type="http://schemas.openxmlformats.org/officeDocument/2006/relationships/hyperlink" Target="mailto:simran.kaur@example.com" TargetMode="External"/><Relationship Id="rId30" Type="http://schemas.openxmlformats.org/officeDocument/2006/relationships/hyperlink" Target="mailto:aarti.mehra@example.com" TargetMode="External"/><Relationship Id="rId35" Type="http://schemas.openxmlformats.org/officeDocument/2006/relationships/hyperlink" Target="mailto:gaurav.singh@example.com" TargetMode="External"/><Relationship Id="rId56" Type="http://schemas.openxmlformats.org/officeDocument/2006/relationships/hyperlink" Target="mailto:rachna.tiwari@example.com" TargetMode="External"/><Relationship Id="rId77" Type="http://schemas.openxmlformats.org/officeDocument/2006/relationships/hyperlink" Target="mailto:rohit.mehta@example.com" TargetMode="External"/><Relationship Id="rId100" Type="http://schemas.openxmlformats.org/officeDocument/2006/relationships/hyperlink" Target="mailto:aarti.mehra@example.com" TargetMode="External"/><Relationship Id="rId8" Type="http://schemas.openxmlformats.org/officeDocument/2006/relationships/hyperlink" Target="mailto:anjali.sharma@example.com" TargetMode="External"/><Relationship Id="rId51" Type="http://schemas.openxmlformats.org/officeDocument/2006/relationships/hyperlink" Target="mailto:varsha.gupta@example.com" TargetMode="External"/><Relationship Id="rId72" Type="http://schemas.openxmlformats.org/officeDocument/2006/relationships/hyperlink" Target="mailto:priya.singh@example.com" TargetMode="External"/><Relationship Id="rId93" Type="http://schemas.openxmlformats.org/officeDocument/2006/relationships/hyperlink" Target="mailto:varun.bansal@example.com" TargetMode="External"/><Relationship Id="rId98" Type="http://schemas.openxmlformats.org/officeDocument/2006/relationships/hyperlink" Target="mailto:priti.sinha@example.com" TargetMode="External"/><Relationship Id="rId3" Type="http://schemas.openxmlformats.org/officeDocument/2006/relationships/hyperlink" Target="mailto:rahul.ver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topLeftCell="D1" workbookViewId="0">
      <selection activeCell="Q8" sqref="Q8:R8"/>
    </sheetView>
  </sheetViews>
  <sheetFormatPr defaultColWidth="7.06640625" defaultRowHeight="25.5" customHeight="1" x14ac:dyDescent="0.45"/>
  <cols>
    <col min="2" max="2" width="11.33203125" customWidth="1"/>
    <col min="3" max="3" width="11.06640625" customWidth="1"/>
    <col min="4" max="4" width="8.59765625" customWidth="1"/>
    <col min="5" max="5" width="9.06640625" customWidth="1"/>
    <col min="6" max="6" width="13.9296875" customWidth="1"/>
    <col min="7" max="7" width="11.06640625" customWidth="1"/>
    <col min="8" max="8" width="12.46484375" customWidth="1"/>
    <col min="9" max="9" width="7.46484375" customWidth="1"/>
    <col min="10" max="10" width="11.46484375" customWidth="1"/>
    <col min="11" max="11" width="12.59765625" customWidth="1"/>
    <col min="12" max="12" width="13" customWidth="1"/>
    <col min="13" max="13" width="25.265625" customWidth="1"/>
    <col min="14" max="14" width="11.6640625" customWidth="1"/>
    <col min="16" max="16" width="10.1328125" customWidth="1"/>
    <col min="17" max="17" width="8" customWidth="1"/>
    <col min="18" max="18" width="11.6640625" customWidth="1"/>
    <col min="19" max="19" width="7.53125" bestFit="1" customWidth="1"/>
  </cols>
  <sheetData>
    <row r="1" spans="1:19" ht="25.5" customHeight="1" thickBot="1" x14ac:dyDescent="0.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9" ht="25.5" customHeight="1" thickBot="1" x14ac:dyDescent="0.5">
      <c r="A2" s="7">
        <v>1001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>
        <v>65000</v>
      </c>
      <c r="J2" s="8">
        <v>3</v>
      </c>
      <c r="K2" s="9">
        <v>44663</v>
      </c>
      <c r="L2" s="8">
        <v>4.2</v>
      </c>
      <c r="M2" s="10" t="s">
        <v>21</v>
      </c>
      <c r="N2" s="11">
        <v>9000001001</v>
      </c>
      <c r="Q2" s="1" t="s">
        <v>238</v>
      </c>
      <c r="R2" s="2"/>
    </row>
    <row r="3" spans="1:19" ht="25.5" customHeight="1" x14ac:dyDescent="0.45">
      <c r="A3" s="7">
        <v>1002</v>
      </c>
      <c r="B3" s="8" t="s">
        <v>22</v>
      </c>
      <c r="C3" s="8" t="s">
        <v>23</v>
      </c>
      <c r="D3" s="8" t="s">
        <v>24</v>
      </c>
      <c r="E3" s="8" t="s">
        <v>17</v>
      </c>
      <c r="F3" s="8" t="s">
        <v>25</v>
      </c>
      <c r="G3" s="8" t="s">
        <v>26</v>
      </c>
      <c r="H3" s="8" t="s">
        <v>27</v>
      </c>
      <c r="I3" s="8">
        <v>58000</v>
      </c>
      <c r="J3" s="8">
        <v>4</v>
      </c>
      <c r="K3" s="9">
        <v>44429</v>
      </c>
      <c r="L3" s="8">
        <v>4.5</v>
      </c>
      <c r="M3" s="10" t="s">
        <v>28</v>
      </c>
      <c r="N3" s="11">
        <v>9000001002</v>
      </c>
    </row>
    <row r="4" spans="1:19" ht="25.5" customHeight="1" x14ac:dyDescent="0.45">
      <c r="A4" s="7">
        <v>1003</v>
      </c>
      <c r="B4" s="8" t="s">
        <v>29</v>
      </c>
      <c r="C4" s="8" t="s">
        <v>30</v>
      </c>
      <c r="D4" s="8" t="s">
        <v>16</v>
      </c>
      <c r="E4" s="8" t="s">
        <v>17</v>
      </c>
      <c r="F4" s="8" t="s">
        <v>31</v>
      </c>
      <c r="G4" s="8" t="s">
        <v>32</v>
      </c>
      <c r="H4" s="8" t="s">
        <v>33</v>
      </c>
      <c r="I4" s="8">
        <v>72000</v>
      </c>
      <c r="J4" s="8">
        <v>5</v>
      </c>
      <c r="K4" s="9">
        <v>43905</v>
      </c>
      <c r="L4" s="8">
        <v>4.0999999999999996</v>
      </c>
      <c r="M4" s="10" t="s">
        <v>34</v>
      </c>
      <c r="N4" s="11">
        <v>9000001003</v>
      </c>
      <c r="P4" s="3" t="s">
        <v>7</v>
      </c>
      <c r="Q4" s="3" t="s">
        <v>3</v>
      </c>
      <c r="R4" s="3" t="s">
        <v>5</v>
      </c>
      <c r="S4" s="3" t="s">
        <v>8</v>
      </c>
    </row>
    <row r="5" spans="1:19" ht="25.5" customHeight="1" x14ac:dyDescent="0.45">
      <c r="A5" s="7">
        <v>1004</v>
      </c>
      <c r="B5" s="8" t="s">
        <v>35</v>
      </c>
      <c r="C5" s="8" t="s">
        <v>36</v>
      </c>
      <c r="D5" s="8" t="s">
        <v>24</v>
      </c>
      <c r="E5" s="8" t="s">
        <v>17</v>
      </c>
      <c r="F5" s="8" t="s">
        <v>37</v>
      </c>
      <c r="G5" s="8" t="s">
        <v>38</v>
      </c>
      <c r="H5" s="8" t="s">
        <v>39</v>
      </c>
      <c r="I5" s="8">
        <v>61000</v>
      </c>
      <c r="J5" s="8">
        <v>3</v>
      </c>
      <c r="K5" s="9">
        <v>44752</v>
      </c>
      <c r="L5" s="8">
        <v>3.8</v>
      </c>
      <c r="M5" s="10" t="s">
        <v>40</v>
      </c>
      <c r="N5" s="11">
        <v>9000001004</v>
      </c>
      <c r="P5" s="3" t="s">
        <v>39</v>
      </c>
      <c r="Q5" s="3" t="s">
        <v>24</v>
      </c>
      <c r="R5" s="3" t="s">
        <v>18</v>
      </c>
      <c r="S5" s="3">
        <f>DAVERAGE(Table1[#All],"Salary",P4:R5)</f>
        <v>60000</v>
      </c>
    </row>
    <row r="6" spans="1:19" ht="25.5" customHeight="1" x14ac:dyDescent="0.45">
      <c r="A6" s="7">
        <v>1005</v>
      </c>
      <c r="B6" s="8" t="s">
        <v>41</v>
      </c>
      <c r="C6" s="8" t="s">
        <v>42</v>
      </c>
      <c r="D6" s="8" t="s">
        <v>16</v>
      </c>
      <c r="E6" s="8" t="s">
        <v>17</v>
      </c>
      <c r="F6" s="8" t="s">
        <v>18</v>
      </c>
      <c r="G6" s="8" t="s">
        <v>43</v>
      </c>
      <c r="H6" s="8" t="s">
        <v>44</v>
      </c>
      <c r="I6" s="8">
        <v>52000</v>
      </c>
      <c r="J6" s="8">
        <v>2</v>
      </c>
      <c r="K6" s="9">
        <v>44944</v>
      </c>
      <c r="L6" s="8">
        <v>3.6</v>
      </c>
      <c r="M6" s="10" t="s">
        <v>45</v>
      </c>
      <c r="N6" s="11">
        <v>9000001005</v>
      </c>
    </row>
    <row r="7" spans="1:19" ht="25.5" customHeight="1" thickBot="1" x14ac:dyDescent="0.5">
      <c r="A7" s="7">
        <v>1006</v>
      </c>
      <c r="B7" s="8" t="s">
        <v>46</v>
      </c>
      <c r="C7" s="8" t="s">
        <v>47</v>
      </c>
      <c r="D7" s="8" t="s">
        <v>24</v>
      </c>
      <c r="E7" s="8" t="s">
        <v>17</v>
      </c>
      <c r="F7" s="8" t="s">
        <v>48</v>
      </c>
      <c r="G7" s="8" t="s">
        <v>49</v>
      </c>
      <c r="H7" s="8" t="s">
        <v>20</v>
      </c>
      <c r="I7" s="8">
        <v>68000</v>
      </c>
      <c r="J7" s="8">
        <v>4</v>
      </c>
      <c r="K7" s="9">
        <v>44505</v>
      </c>
      <c r="L7" s="8">
        <v>4.7</v>
      </c>
      <c r="M7" s="10" t="s">
        <v>50</v>
      </c>
      <c r="N7" s="11">
        <v>9000001006</v>
      </c>
    </row>
    <row r="8" spans="1:19" ht="25.5" customHeight="1" thickBot="1" x14ac:dyDescent="0.5">
      <c r="A8" s="7">
        <v>1007</v>
      </c>
      <c r="B8" s="8" t="s">
        <v>51</v>
      </c>
      <c r="C8" s="8" t="s">
        <v>52</v>
      </c>
      <c r="D8" s="8" t="s">
        <v>16</v>
      </c>
      <c r="E8" s="8" t="s">
        <v>17</v>
      </c>
      <c r="F8" s="8" t="s">
        <v>53</v>
      </c>
      <c r="G8" s="8" t="s">
        <v>54</v>
      </c>
      <c r="H8" s="8" t="s">
        <v>55</v>
      </c>
      <c r="I8" s="8">
        <v>59000</v>
      </c>
      <c r="J8" s="8">
        <v>3</v>
      </c>
      <c r="K8" s="9">
        <v>44703</v>
      </c>
      <c r="L8" s="8">
        <v>4</v>
      </c>
      <c r="M8" s="10" t="s">
        <v>56</v>
      </c>
      <c r="N8" s="11">
        <v>9000001007</v>
      </c>
      <c r="Q8" s="1" t="s">
        <v>239</v>
      </c>
      <c r="R8" s="17"/>
    </row>
    <row r="9" spans="1:19" ht="25.5" customHeight="1" x14ac:dyDescent="0.45">
      <c r="A9" s="7">
        <v>1008</v>
      </c>
      <c r="B9" s="8" t="s">
        <v>57</v>
      </c>
      <c r="C9" s="8" t="s">
        <v>15</v>
      </c>
      <c r="D9" s="8" t="s">
        <v>24</v>
      </c>
      <c r="E9" s="8" t="s">
        <v>17</v>
      </c>
      <c r="F9" s="8" t="s">
        <v>58</v>
      </c>
      <c r="G9" s="8" t="s">
        <v>59</v>
      </c>
      <c r="H9" s="8" t="s">
        <v>27</v>
      </c>
      <c r="I9" s="8">
        <v>55000</v>
      </c>
      <c r="J9" s="8">
        <v>2</v>
      </c>
      <c r="K9" s="9">
        <v>44996</v>
      </c>
      <c r="L9" s="8">
        <v>3.9</v>
      </c>
      <c r="M9" s="10" t="s">
        <v>60</v>
      </c>
      <c r="N9" s="11">
        <v>9000001008</v>
      </c>
    </row>
    <row r="10" spans="1:19" ht="25.5" customHeight="1" x14ac:dyDescent="0.45">
      <c r="A10" s="7">
        <v>1009</v>
      </c>
      <c r="B10" s="8" t="s">
        <v>61</v>
      </c>
      <c r="C10" s="8" t="s">
        <v>23</v>
      </c>
      <c r="D10" s="8" t="s">
        <v>16</v>
      </c>
      <c r="E10" s="8" t="s">
        <v>17</v>
      </c>
      <c r="F10" s="8" t="s">
        <v>62</v>
      </c>
      <c r="G10" s="8" t="s">
        <v>63</v>
      </c>
      <c r="H10" s="8" t="s">
        <v>33</v>
      </c>
      <c r="I10" s="8">
        <v>63000</v>
      </c>
      <c r="J10" s="8">
        <v>4</v>
      </c>
      <c r="K10" s="9">
        <v>44364</v>
      </c>
      <c r="L10" s="8">
        <v>4.3</v>
      </c>
      <c r="M10" s="10" t="s">
        <v>64</v>
      </c>
      <c r="N10" s="11">
        <v>9000001009</v>
      </c>
      <c r="P10" s="3" t="s">
        <v>7</v>
      </c>
      <c r="Q10" s="3" t="s">
        <v>3</v>
      </c>
      <c r="R10" s="3" t="s">
        <v>5</v>
      </c>
      <c r="S10" s="3" t="s">
        <v>8</v>
      </c>
    </row>
    <row r="11" spans="1:19" ht="25.5" customHeight="1" x14ac:dyDescent="0.45">
      <c r="A11" s="7">
        <v>1010</v>
      </c>
      <c r="B11" s="8" t="s">
        <v>65</v>
      </c>
      <c r="C11" s="8" t="s">
        <v>30</v>
      </c>
      <c r="D11" s="8" t="s">
        <v>24</v>
      </c>
      <c r="E11" s="8" t="s">
        <v>17</v>
      </c>
      <c r="F11" s="8" t="s">
        <v>66</v>
      </c>
      <c r="G11" s="8" t="s">
        <v>67</v>
      </c>
      <c r="H11" s="8" t="s">
        <v>39</v>
      </c>
      <c r="I11" s="8">
        <v>60000</v>
      </c>
      <c r="J11" s="8">
        <v>3</v>
      </c>
      <c r="K11" s="9">
        <v>44805</v>
      </c>
      <c r="L11" s="8">
        <v>4.4000000000000004</v>
      </c>
      <c r="M11" s="10" t="s">
        <v>68</v>
      </c>
      <c r="N11" s="11">
        <v>9000001010</v>
      </c>
      <c r="P11" s="3" t="s">
        <v>39</v>
      </c>
      <c r="Q11" s="3" t="s">
        <v>24</v>
      </c>
      <c r="R11" s="3" t="s">
        <v>18</v>
      </c>
      <c r="S11" s="3">
        <f>DCOUNT(Table1[#All],"Salary",P10:R11)</f>
        <v>3</v>
      </c>
    </row>
    <row r="12" spans="1:19" ht="25.5" customHeight="1" x14ac:dyDescent="0.45">
      <c r="A12" s="7">
        <v>1011</v>
      </c>
      <c r="B12" s="8" t="s">
        <v>69</v>
      </c>
      <c r="C12" s="8" t="s">
        <v>70</v>
      </c>
      <c r="D12" s="8" t="s">
        <v>16</v>
      </c>
      <c r="E12" s="8" t="s">
        <v>17</v>
      </c>
      <c r="F12" s="8" t="s">
        <v>31</v>
      </c>
      <c r="G12" s="8" t="s">
        <v>32</v>
      </c>
      <c r="H12" s="8" t="s">
        <v>20</v>
      </c>
      <c r="I12" s="8">
        <v>78000</v>
      </c>
      <c r="J12" s="8">
        <v>6</v>
      </c>
      <c r="K12" s="9">
        <v>43510</v>
      </c>
      <c r="L12" s="8">
        <v>4.8</v>
      </c>
      <c r="M12" s="10" t="s">
        <v>71</v>
      </c>
      <c r="N12" s="11">
        <v>9000001011</v>
      </c>
    </row>
    <row r="13" spans="1:19" ht="25.5" customHeight="1" thickBot="1" x14ac:dyDescent="0.5">
      <c r="A13" s="7">
        <v>1012</v>
      </c>
      <c r="B13" s="8" t="s">
        <v>72</v>
      </c>
      <c r="C13" s="8" t="s">
        <v>73</v>
      </c>
      <c r="D13" s="8" t="s">
        <v>24</v>
      </c>
      <c r="E13" s="8" t="s">
        <v>17</v>
      </c>
      <c r="F13" s="8" t="s">
        <v>25</v>
      </c>
      <c r="G13" s="8" t="s">
        <v>74</v>
      </c>
      <c r="H13" s="8" t="s">
        <v>44</v>
      </c>
      <c r="I13" s="8">
        <v>51000</v>
      </c>
      <c r="J13" s="8">
        <v>2</v>
      </c>
      <c r="K13" s="9">
        <v>45086</v>
      </c>
      <c r="L13" s="8">
        <v>3.7</v>
      </c>
      <c r="M13" s="10" t="s">
        <v>75</v>
      </c>
      <c r="N13" s="11">
        <v>9000001012</v>
      </c>
    </row>
    <row r="14" spans="1:19" ht="25.5" customHeight="1" thickBot="1" x14ac:dyDescent="0.5">
      <c r="A14" s="7">
        <v>1013</v>
      </c>
      <c r="B14" s="8" t="s">
        <v>76</v>
      </c>
      <c r="C14" s="8" t="s">
        <v>77</v>
      </c>
      <c r="D14" s="8" t="s">
        <v>16</v>
      </c>
      <c r="E14" s="8" t="s">
        <v>17</v>
      </c>
      <c r="F14" s="8" t="s">
        <v>18</v>
      </c>
      <c r="G14" s="8" t="s">
        <v>78</v>
      </c>
      <c r="H14" s="8" t="s">
        <v>33</v>
      </c>
      <c r="I14" s="8">
        <v>74000</v>
      </c>
      <c r="J14" s="8">
        <v>5</v>
      </c>
      <c r="K14" s="9">
        <v>44124</v>
      </c>
      <c r="L14" s="8">
        <v>4.5999999999999996</v>
      </c>
      <c r="M14" s="10" t="s">
        <v>79</v>
      </c>
      <c r="N14" s="11">
        <v>9000001013</v>
      </c>
      <c r="Q14" s="1" t="s">
        <v>240</v>
      </c>
      <c r="R14" s="17"/>
    </row>
    <row r="15" spans="1:19" ht="25.5" customHeight="1" x14ac:dyDescent="0.45">
      <c r="A15" s="7">
        <v>1014</v>
      </c>
      <c r="B15" s="8" t="s">
        <v>80</v>
      </c>
      <c r="C15" s="8" t="s">
        <v>81</v>
      </c>
      <c r="D15" s="8" t="s">
        <v>24</v>
      </c>
      <c r="E15" s="8" t="s">
        <v>17</v>
      </c>
      <c r="F15" s="8" t="s">
        <v>58</v>
      </c>
      <c r="G15" s="8" t="s">
        <v>82</v>
      </c>
      <c r="H15" s="8" t="s">
        <v>27</v>
      </c>
      <c r="I15" s="8">
        <v>57000</v>
      </c>
      <c r="J15" s="8">
        <v>3</v>
      </c>
      <c r="K15" s="9">
        <v>44599</v>
      </c>
      <c r="L15" s="8">
        <v>4.0999999999999996</v>
      </c>
      <c r="M15" s="10" t="s">
        <v>83</v>
      </c>
      <c r="N15" s="11">
        <v>9000001014</v>
      </c>
    </row>
    <row r="16" spans="1:19" ht="25.5" customHeight="1" x14ac:dyDescent="0.45">
      <c r="A16" s="7">
        <v>1015</v>
      </c>
      <c r="B16" s="8" t="s">
        <v>84</v>
      </c>
      <c r="C16" s="8" t="s">
        <v>85</v>
      </c>
      <c r="D16" s="8" t="s">
        <v>16</v>
      </c>
      <c r="E16" s="8" t="s">
        <v>17</v>
      </c>
      <c r="F16" s="8" t="s">
        <v>18</v>
      </c>
      <c r="G16" s="8" t="s">
        <v>86</v>
      </c>
      <c r="H16" s="8" t="s">
        <v>55</v>
      </c>
      <c r="I16" s="8">
        <v>56000</v>
      </c>
      <c r="J16" s="8">
        <v>4</v>
      </c>
      <c r="K16" s="9">
        <v>44543</v>
      </c>
      <c r="L16" s="8">
        <v>3.5</v>
      </c>
      <c r="M16" s="10" t="s">
        <v>87</v>
      </c>
      <c r="N16" s="11">
        <v>9000001015</v>
      </c>
      <c r="P16" s="3" t="s">
        <v>7</v>
      </c>
      <c r="Q16" s="3" t="s">
        <v>3</v>
      </c>
      <c r="R16" s="3" t="s">
        <v>5</v>
      </c>
      <c r="S16" s="3" t="s">
        <v>8</v>
      </c>
    </row>
    <row r="17" spans="1:19" ht="25.5" customHeight="1" x14ac:dyDescent="0.45">
      <c r="A17" s="7">
        <v>1016</v>
      </c>
      <c r="B17" s="8" t="s">
        <v>88</v>
      </c>
      <c r="C17" s="8" t="s">
        <v>89</v>
      </c>
      <c r="D17" s="8" t="s">
        <v>24</v>
      </c>
      <c r="E17" s="8" t="s">
        <v>17</v>
      </c>
      <c r="F17" s="8" t="s">
        <v>53</v>
      </c>
      <c r="G17" s="8" t="s">
        <v>90</v>
      </c>
      <c r="H17" s="8" t="s">
        <v>39</v>
      </c>
      <c r="I17" s="8">
        <v>62000</v>
      </c>
      <c r="J17" s="8">
        <v>3</v>
      </c>
      <c r="K17" s="9">
        <v>44737</v>
      </c>
      <c r="L17" s="8">
        <v>4.2</v>
      </c>
      <c r="M17" s="10" t="s">
        <v>91</v>
      </c>
      <c r="N17" s="11">
        <v>9000001016</v>
      </c>
      <c r="P17" s="3" t="s">
        <v>39</v>
      </c>
      <c r="Q17" s="3" t="s">
        <v>24</v>
      </c>
      <c r="R17" s="3" t="s">
        <v>18</v>
      </c>
      <c r="S17" s="3">
        <f>DMAX(Table1[#All],"Salary",P16:R17)</f>
        <v>63000</v>
      </c>
    </row>
    <row r="18" spans="1:19" ht="25.5" customHeight="1" x14ac:dyDescent="0.45">
      <c r="A18" s="7">
        <v>1017</v>
      </c>
      <c r="B18" s="8" t="s">
        <v>92</v>
      </c>
      <c r="C18" s="8" t="s">
        <v>93</v>
      </c>
      <c r="D18" s="8" t="s">
        <v>16</v>
      </c>
      <c r="E18" s="8" t="s">
        <v>17</v>
      </c>
      <c r="F18" s="8" t="s">
        <v>94</v>
      </c>
      <c r="G18" s="8" t="s">
        <v>95</v>
      </c>
      <c r="H18" s="8" t="s">
        <v>20</v>
      </c>
      <c r="I18" s="8">
        <v>81000</v>
      </c>
      <c r="J18" s="8">
        <v>6</v>
      </c>
      <c r="K18" s="9">
        <v>43665</v>
      </c>
      <c r="L18" s="8">
        <v>4.9000000000000004</v>
      </c>
      <c r="M18" s="10" t="s">
        <v>96</v>
      </c>
      <c r="N18" s="11">
        <v>9000001017</v>
      </c>
    </row>
    <row r="19" spans="1:19" ht="25.5" customHeight="1" thickBot="1" x14ac:dyDescent="0.5">
      <c r="A19" s="7">
        <v>1018</v>
      </c>
      <c r="B19" s="8" t="s">
        <v>97</v>
      </c>
      <c r="C19" s="8" t="s">
        <v>98</v>
      </c>
      <c r="D19" s="8" t="s">
        <v>24</v>
      </c>
      <c r="E19" s="8" t="s">
        <v>17</v>
      </c>
      <c r="F19" s="8" t="s">
        <v>99</v>
      </c>
      <c r="G19" s="8" t="s">
        <v>100</v>
      </c>
      <c r="H19" s="8" t="s">
        <v>33</v>
      </c>
      <c r="I19" s="8">
        <v>60000</v>
      </c>
      <c r="J19" s="8">
        <v>4</v>
      </c>
      <c r="K19" s="9">
        <v>44294</v>
      </c>
      <c r="L19" s="8">
        <v>4</v>
      </c>
      <c r="M19" s="10" t="s">
        <v>101</v>
      </c>
      <c r="N19" s="11">
        <v>9000001018</v>
      </c>
    </row>
    <row r="20" spans="1:19" ht="25.5" customHeight="1" thickBot="1" x14ac:dyDescent="0.5">
      <c r="A20" s="7">
        <v>1019</v>
      </c>
      <c r="B20" s="8" t="s">
        <v>102</v>
      </c>
      <c r="C20" s="8" t="s">
        <v>36</v>
      </c>
      <c r="D20" s="8" t="s">
        <v>16</v>
      </c>
      <c r="E20" s="8" t="s">
        <v>17</v>
      </c>
      <c r="F20" s="8" t="s">
        <v>103</v>
      </c>
      <c r="G20" s="8" t="s">
        <v>104</v>
      </c>
      <c r="H20" s="8" t="s">
        <v>44</v>
      </c>
      <c r="I20" s="8">
        <v>53000</v>
      </c>
      <c r="J20" s="8">
        <v>2</v>
      </c>
      <c r="K20" s="9">
        <v>44973</v>
      </c>
      <c r="L20" s="8">
        <v>3.4</v>
      </c>
      <c r="M20" s="10" t="s">
        <v>105</v>
      </c>
      <c r="N20" s="11">
        <v>9000001019</v>
      </c>
      <c r="Q20" s="1" t="s">
        <v>241</v>
      </c>
      <c r="R20" s="17"/>
    </row>
    <row r="21" spans="1:19" ht="25.5" customHeight="1" x14ac:dyDescent="0.45">
      <c r="A21" s="7">
        <v>1020</v>
      </c>
      <c r="B21" s="8" t="s">
        <v>106</v>
      </c>
      <c r="C21" s="8" t="s">
        <v>15</v>
      </c>
      <c r="D21" s="8" t="s">
        <v>24</v>
      </c>
      <c r="E21" s="8" t="s">
        <v>17</v>
      </c>
      <c r="F21" s="8" t="s">
        <v>48</v>
      </c>
      <c r="G21" s="8" t="s">
        <v>49</v>
      </c>
      <c r="H21" s="8" t="s">
        <v>20</v>
      </c>
      <c r="I21" s="8">
        <v>70000</v>
      </c>
      <c r="J21" s="8">
        <v>4</v>
      </c>
      <c r="K21" s="9">
        <v>44451</v>
      </c>
      <c r="L21" s="8">
        <v>4.5</v>
      </c>
      <c r="M21" s="10" t="s">
        <v>107</v>
      </c>
      <c r="N21" s="11">
        <v>9000001020</v>
      </c>
    </row>
    <row r="22" spans="1:19" ht="25.5" customHeight="1" x14ac:dyDescent="0.45">
      <c r="A22" s="7">
        <v>1021</v>
      </c>
      <c r="B22" s="8" t="s">
        <v>108</v>
      </c>
      <c r="C22" s="8" t="s">
        <v>42</v>
      </c>
      <c r="D22" s="8" t="s">
        <v>16</v>
      </c>
      <c r="E22" s="8" t="s">
        <v>17</v>
      </c>
      <c r="F22" s="8" t="s">
        <v>62</v>
      </c>
      <c r="G22" s="8" t="s">
        <v>109</v>
      </c>
      <c r="H22" s="8" t="s">
        <v>55</v>
      </c>
      <c r="I22" s="8">
        <v>50000</v>
      </c>
      <c r="J22" s="8">
        <v>2</v>
      </c>
      <c r="K22" s="9">
        <v>45050</v>
      </c>
      <c r="L22" s="8">
        <v>3.8</v>
      </c>
      <c r="M22" s="10" t="s">
        <v>110</v>
      </c>
      <c r="N22" s="11">
        <v>9000001021</v>
      </c>
      <c r="P22" s="3" t="s">
        <v>7</v>
      </c>
      <c r="Q22" s="3" t="s">
        <v>3</v>
      </c>
      <c r="R22" s="3" t="s">
        <v>5</v>
      </c>
      <c r="S22" s="3" t="s">
        <v>8</v>
      </c>
    </row>
    <row r="23" spans="1:19" ht="25.5" customHeight="1" x14ac:dyDescent="0.45">
      <c r="A23" s="7">
        <v>1022</v>
      </c>
      <c r="B23" s="8" t="s">
        <v>111</v>
      </c>
      <c r="C23" s="8" t="s">
        <v>23</v>
      </c>
      <c r="D23" s="8" t="s">
        <v>24</v>
      </c>
      <c r="E23" s="8" t="s">
        <v>17</v>
      </c>
      <c r="F23" s="8" t="s">
        <v>18</v>
      </c>
      <c r="G23" s="8" t="s">
        <v>112</v>
      </c>
      <c r="H23" s="8" t="s">
        <v>27</v>
      </c>
      <c r="I23" s="8">
        <v>59000</v>
      </c>
      <c r="J23" s="8">
        <v>3</v>
      </c>
      <c r="K23" s="9">
        <v>44880</v>
      </c>
      <c r="L23" s="8">
        <v>4.3</v>
      </c>
      <c r="M23" s="10" t="s">
        <v>113</v>
      </c>
      <c r="N23" s="11">
        <v>9000001022</v>
      </c>
      <c r="P23" s="3" t="s">
        <v>39</v>
      </c>
      <c r="Q23" s="3" t="s">
        <v>24</v>
      </c>
      <c r="R23" s="3" t="s">
        <v>18</v>
      </c>
      <c r="S23" s="3">
        <f>DMIN(Table1[#All],"Salary",P22:R23)</f>
        <v>57000</v>
      </c>
    </row>
    <row r="24" spans="1:19" ht="25.5" customHeight="1" x14ac:dyDescent="0.45">
      <c r="A24" s="7">
        <v>1023</v>
      </c>
      <c r="B24" s="8" t="s">
        <v>114</v>
      </c>
      <c r="C24" s="8" t="s">
        <v>115</v>
      </c>
      <c r="D24" s="8" t="s">
        <v>16</v>
      </c>
      <c r="E24" s="8" t="s">
        <v>17</v>
      </c>
      <c r="F24" s="8" t="s">
        <v>66</v>
      </c>
      <c r="G24" s="8" t="s">
        <v>116</v>
      </c>
      <c r="H24" s="8" t="s">
        <v>33</v>
      </c>
      <c r="I24" s="8">
        <v>67000</v>
      </c>
      <c r="J24" s="8">
        <v>5</v>
      </c>
      <c r="K24" s="9">
        <v>44061</v>
      </c>
      <c r="L24" s="8">
        <v>4.4000000000000004</v>
      </c>
      <c r="M24" s="10" t="s">
        <v>117</v>
      </c>
      <c r="N24" s="11">
        <v>9000001023</v>
      </c>
    </row>
    <row r="25" spans="1:19" ht="25.5" customHeight="1" x14ac:dyDescent="0.45">
      <c r="A25" s="7">
        <v>1024</v>
      </c>
      <c r="B25" s="8" t="s">
        <v>118</v>
      </c>
      <c r="C25" s="8" t="s">
        <v>119</v>
      </c>
      <c r="D25" s="8" t="s">
        <v>24</v>
      </c>
      <c r="E25" s="8" t="s">
        <v>17</v>
      </c>
      <c r="F25" s="8" t="s">
        <v>103</v>
      </c>
      <c r="G25" s="8" t="s">
        <v>120</v>
      </c>
      <c r="H25" s="8" t="s">
        <v>39</v>
      </c>
      <c r="I25" s="8">
        <v>64000</v>
      </c>
      <c r="J25" s="8">
        <v>4</v>
      </c>
      <c r="K25" s="9">
        <v>44474</v>
      </c>
      <c r="L25" s="8">
        <v>4.5999999999999996</v>
      </c>
      <c r="M25" s="10" t="s">
        <v>121</v>
      </c>
      <c r="N25" s="11">
        <v>9000001024</v>
      </c>
    </row>
    <row r="26" spans="1:19" ht="25.5" customHeight="1" x14ac:dyDescent="0.45">
      <c r="A26" s="7">
        <v>1025</v>
      </c>
      <c r="B26" s="8" t="s">
        <v>122</v>
      </c>
      <c r="C26" s="8" t="s">
        <v>47</v>
      </c>
      <c r="D26" s="8" t="s">
        <v>16</v>
      </c>
      <c r="E26" s="8" t="s">
        <v>17</v>
      </c>
      <c r="F26" s="8" t="s">
        <v>18</v>
      </c>
      <c r="G26" s="8" t="s">
        <v>123</v>
      </c>
      <c r="H26" s="8" t="s">
        <v>44</v>
      </c>
      <c r="I26" s="8">
        <v>54000</v>
      </c>
      <c r="J26" s="8">
        <v>3</v>
      </c>
      <c r="K26" s="9">
        <v>44641</v>
      </c>
      <c r="L26" s="8">
        <v>3.9</v>
      </c>
      <c r="M26" s="10" t="s">
        <v>124</v>
      </c>
      <c r="N26" s="11">
        <v>9000001025</v>
      </c>
    </row>
    <row r="27" spans="1:19" ht="25.5" customHeight="1" x14ac:dyDescent="0.45">
      <c r="A27" s="7">
        <v>1026</v>
      </c>
      <c r="B27" s="8" t="s">
        <v>125</v>
      </c>
      <c r="C27" s="8" t="s">
        <v>126</v>
      </c>
      <c r="D27" s="8" t="s">
        <v>24</v>
      </c>
      <c r="E27" s="8" t="s">
        <v>17</v>
      </c>
      <c r="F27" s="8" t="s">
        <v>127</v>
      </c>
      <c r="G27" s="8" t="s">
        <v>128</v>
      </c>
      <c r="H27" s="8" t="s">
        <v>20</v>
      </c>
      <c r="I27" s="8">
        <v>76000</v>
      </c>
      <c r="J27" s="8">
        <v>5</v>
      </c>
      <c r="K27" s="9">
        <v>43963</v>
      </c>
      <c r="L27" s="8">
        <v>4.7</v>
      </c>
      <c r="M27" s="10" t="s">
        <v>129</v>
      </c>
      <c r="N27" s="11">
        <v>9000001026</v>
      </c>
    </row>
    <row r="28" spans="1:19" ht="25.5" customHeight="1" x14ac:dyDescent="0.45">
      <c r="A28" s="7">
        <v>1027</v>
      </c>
      <c r="B28" s="8" t="s">
        <v>130</v>
      </c>
      <c r="C28" s="8" t="s">
        <v>131</v>
      </c>
      <c r="D28" s="8" t="s">
        <v>16</v>
      </c>
      <c r="E28" s="8" t="s">
        <v>17</v>
      </c>
      <c r="F28" s="8" t="s">
        <v>132</v>
      </c>
      <c r="G28" s="8" t="s">
        <v>133</v>
      </c>
      <c r="H28" s="8" t="s">
        <v>55</v>
      </c>
      <c r="I28" s="8">
        <v>58000</v>
      </c>
      <c r="J28" s="8">
        <v>4</v>
      </c>
      <c r="K28" s="9">
        <v>44404</v>
      </c>
      <c r="L28" s="8">
        <v>3.7</v>
      </c>
      <c r="M28" s="10" t="s">
        <v>134</v>
      </c>
      <c r="N28" s="11">
        <v>9000001027</v>
      </c>
    </row>
    <row r="29" spans="1:19" ht="25.5" customHeight="1" x14ac:dyDescent="0.45">
      <c r="A29" s="7">
        <v>1028</v>
      </c>
      <c r="B29" s="8" t="s">
        <v>135</v>
      </c>
      <c r="C29" s="8" t="s">
        <v>136</v>
      </c>
      <c r="D29" s="8" t="s">
        <v>24</v>
      </c>
      <c r="E29" s="8" t="s">
        <v>17</v>
      </c>
      <c r="F29" s="8" t="s">
        <v>62</v>
      </c>
      <c r="G29" s="8" t="s">
        <v>63</v>
      </c>
      <c r="H29" s="8" t="s">
        <v>33</v>
      </c>
      <c r="I29" s="8">
        <v>61000</v>
      </c>
      <c r="J29" s="8">
        <v>3</v>
      </c>
      <c r="K29" s="9">
        <v>44578</v>
      </c>
      <c r="L29" s="8">
        <v>4.0999999999999996</v>
      </c>
      <c r="M29" s="10" t="s">
        <v>137</v>
      </c>
      <c r="N29" s="11">
        <v>9000001028</v>
      </c>
    </row>
    <row r="30" spans="1:19" ht="25.5" customHeight="1" x14ac:dyDescent="0.45">
      <c r="A30" s="7">
        <v>1029</v>
      </c>
      <c r="B30" s="8" t="s">
        <v>138</v>
      </c>
      <c r="C30" s="8" t="s">
        <v>139</v>
      </c>
      <c r="D30" s="8" t="s">
        <v>16</v>
      </c>
      <c r="E30" s="8" t="s">
        <v>17</v>
      </c>
      <c r="F30" s="8" t="s">
        <v>48</v>
      </c>
      <c r="G30" s="8" t="s">
        <v>140</v>
      </c>
      <c r="H30" s="8" t="s">
        <v>44</v>
      </c>
      <c r="I30" s="8">
        <v>55000</v>
      </c>
      <c r="J30" s="8">
        <v>2</v>
      </c>
      <c r="K30" s="9">
        <v>45022</v>
      </c>
      <c r="L30" s="8">
        <v>3.6</v>
      </c>
      <c r="M30" s="10" t="s">
        <v>141</v>
      </c>
      <c r="N30" s="11">
        <v>9000001029</v>
      </c>
    </row>
    <row r="31" spans="1:19" ht="25.5" customHeight="1" x14ac:dyDescent="0.45">
      <c r="A31" s="7">
        <v>1030</v>
      </c>
      <c r="B31" s="8" t="s">
        <v>142</v>
      </c>
      <c r="C31" s="8" t="s">
        <v>143</v>
      </c>
      <c r="D31" s="8" t="s">
        <v>24</v>
      </c>
      <c r="E31" s="8" t="s">
        <v>17</v>
      </c>
      <c r="F31" s="8" t="s">
        <v>31</v>
      </c>
      <c r="G31" s="8" t="s">
        <v>32</v>
      </c>
      <c r="H31" s="8" t="s">
        <v>27</v>
      </c>
      <c r="I31" s="8">
        <v>63000</v>
      </c>
      <c r="J31" s="8">
        <v>4</v>
      </c>
      <c r="K31" s="9">
        <v>44251</v>
      </c>
      <c r="L31" s="8">
        <v>4.5</v>
      </c>
      <c r="M31" s="10" t="s">
        <v>144</v>
      </c>
      <c r="N31" s="11">
        <v>9000001030</v>
      </c>
    </row>
    <row r="32" spans="1:19" ht="25.5" customHeight="1" x14ac:dyDescent="0.45">
      <c r="A32" s="7">
        <v>1031</v>
      </c>
      <c r="B32" s="8" t="s">
        <v>145</v>
      </c>
      <c r="C32" s="8" t="s">
        <v>146</v>
      </c>
      <c r="D32" s="8" t="s">
        <v>16</v>
      </c>
      <c r="E32" s="8" t="s">
        <v>17</v>
      </c>
      <c r="F32" s="8" t="s">
        <v>18</v>
      </c>
      <c r="G32" s="8" t="s">
        <v>19</v>
      </c>
      <c r="H32" s="8" t="s">
        <v>20</v>
      </c>
      <c r="I32" s="8">
        <v>69000</v>
      </c>
      <c r="J32" s="8">
        <v>4</v>
      </c>
      <c r="K32" s="9">
        <v>44469</v>
      </c>
      <c r="L32" s="8">
        <v>4.3</v>
      </c>
      <c r="M32" s="10" t="s">
        <v>147</v>
      </c>
      <c r="N32" s="11">
        <v>9000001031</v>
      </c>
    </row>
    <row r="33" spans="1:14" ht="25.5" customHeight="1" x14ac:dyDescent="0.45">
      <c r="A33" s="7">
        <v>1032</v>
      </c>
      <c r="B33" s="8" t="s">
        <v>148</v>
      </c>
      <c r="C33" s="8" t="s">
        <v>73</v>
      </c>
      <c r="D33" s="8" t="s">
        <v>24</v>
      </c>
      <c r="E33" s="8" t="s">
        <v>17</v>
      </c>
      <c r="F33" s="8" t="s">
        <v>25</v>
      </c>
      <c r="G33" s="8" t="s">
        <v>74</v>
      </c>
      <c r="H33" s="8" t="s">
        <v>39</v>
      </c>
      <c r="I33" s="8">
        <v>62000</v>
      </c>
      <c r="J33" s="8">
        <v>3</v>
      </c>
      <c r="K33" s="9">
        <v>44786</v>
      </c>
      <c r="L33" s="8">
        <v>4</v>
      </c>
      <c r="M33" s="10" t="s">
        <v>149</v>
      </c>
      <c r="N33" s="11">
        <v>9000001032</v>
      </c>
    </row>
    <row r="34" spans="1:14" ht="25.5" customHeight="1" x14ac:dyDescent="0.45">
      <c r="A34" s="7">
        <v>1033</v>
      </c>
      <c r="B34" s="8" t="s">
        <v>150</v>
      </c>
      <c r="C34" s="8" t="s">
        <v>151</v>
      </c>
      <c r="D34" s="8" t="s">
        <v>16</v>
      </c>
      <c r="E34" s="8" t="s">
        <v>17</v>
      </c>
      <c r="F34" s="8" t="s">
        <v>18</v>
      </c>
      <c r="G34" s="8" t="s">
        <v>43</v>
      </c>
      <c r="H34" s="8" t="s">
        <v>33</v>
      </c>
      <c r="I34" s="8">
        <v>71000</v>
      </c>
      <c r="J34" s="8">
        <v>5</v>
      </c>
      <c r="K34" s="9">
        <v>44001</v>
      </c>
      <c r="L34" s="8">
        <v>4.2</v>
      </c>
      <c r="M34" s="10" t="s">
        <v>152</v>
      </c>
      <c r="N34" s="11">
        <v>9000001033</v>
      </c>
    </row>
    <row r="35" spans="1:14" ht="25.5" customHeight="1" x14ac:dyDescent="0.45">
      <c r="A35" s="7">
        <v>1034</v>
      </c>
      <c r="B35" s="8" t="s">
        <v>153</v>
      </c>
      <c r="C35" s="8" t="s">
        <v>15</v>
      </c>
      <c r="D35" s="8" t="s">
        <v>24</v>
      </c>
      <c r="E35" s="8" t="s">
        <v>17</v>
      </c>
      <c r="F35" s="8" t="s">
        <v>53</v>
      </c>
      <c r="G35" s="8" t="s">
        <v>154</v>
      </c>
      <c r="H35" s="8" t="s">
        <v>44</v>
      </c>
      <c r="I35" s="8">
        <v>51000</v>
      </c>
      <c r="J35" s="8">
        <v>2</v>
      </c>
      <c r="K35" s="9">
        <v>44935</v>
      </c>
      <c r="L35" s="8">
        <v>3.5</v>
      </c>
      <c r="M35" s="10" t="s">
        <v>155</v>
      </c>
      <c r="N35" s="11">
        <v>9000001034</v>
      </c>
    </row>
    <row r="36" spans="1:14" ht="25.5" customHeight="1" x14ac:dyDescent="0.45">
      <c r="A36" s="7">
        <v>1035</v>
      </c>
      <c r="B36" s="8" t="s">
        <v>156</v>
      </c>
      <c r="C36" s="8" t="s">
        <v>23</v>
      </c>
      <c r="D36" s="8" t="s">
        <v>16</v>
      </c>
      <c r="E36" s="8" t="s">
        <v>17</v>
      </c>
      <c r="F36" s="8" t="s">
        <v>58</v>
      </c>
      <c r="G36" s="8" t="s">
        <v>157</v>
      </c>
      <c r="H36" s="8" t="s">
        <v>55</v>
      </c>
      <c r="I36" s="8">
        <v>60000</v>
      </c>
      <c r="J36" s="8">
        <v>4</v>
      </c>
      <c r="K36" s="9">
        <v>44523</v>
      </c>
      <c r="L36" s="8">
        <v>4.4000000000000004</v>
      </c>
      <c r="M36" s="10" t="s">
        <v>158</v>
      </c>
      <c r="N36" s="11">
        <v>9000001035</v>
      </c>
    </row>
    <row r="37" spans="1:14" ht="25.5" customHeight="1" x14ac:dyDescent="0.45">
      <c r="A37" s="7">
        <v>1036</v>
      </c>
      <c r="B37" s="8" t="s">
        <v>159</v>
      </c>
      <c r="C37" s="8" t="s">
        <v>30</v>
      </c>
      <c r="D37" s="8" t="s">
        <v>24</v>
      </c>
      <c r="E37" s="8" t="s">
        <v>17</v>
      </c>
      <c r="F37" s="8" t="s">
        <v>66</v>
      </c>
      <c r="G37" s="8" t="s">
        <v>67</v>
      </c>
      <c r="H37" s="8" t="s">
        <v>20</v>
      </c>
      <c r="I37" s="8">
        <v>73000</v>
      </c>
      <c r="J37" s="8">
        <v>5</v>
      </c>
      <c r="K37" s="9">
        <v>44088</v>
      </c>
      <c r="L37" s="8">
        <v>4.8</v>
      </c>
      <c r="M37" s="10" t="s">
        <v>160</v>
      </c>
      <c r="N37" s="11">
        <v>9000001036</v>
      </c>
    </row>
    <row r="38" spans="1:14" ht="25.5" customHeight="1" x14ac:dyDescent="0.45">
      <c r="A38" s="7">
        <v>1037</v>
      </c>
      <c r="B38" s="8" t="s">
        <v>161</v>
      </c>
      <c r="C38" s="8" t="s">
        <v>162</v>
      </c>
      <c r="D38" s="8" t="s">
        <v>16</v>
      </c>
      <c r="E38" s="8" t="s">
        <v>17</v>
      </c>
      <c r="F38" s="8" t="s">
        <v>18</v>
      </c>
      <c r="G38" s="8" t="s">
        <v>86</v>
      </c>
      <c r="H38" s="8" t="s">
        <v>27</v>
      </c>
      <c r="I38" s="8">
        <v>56000</v>
      </c>
      <c r="J38" s="8">
        <v>3</v>
      </c>
      <c r="K38" s="9">
        <v>44679</v>
      </c>
      <c r="L38" s="8">
        <v>3.9</v>
      </c>
      <c r="M38" s="10" t="s">
        <v>163</v>
      </c>
      <c r="N38" s="11">
        <v>9000001037</v>
      </c>
    </row>
    <row r="39" spans="1:14" ht="25.5" customHeight="1" x14ac:dyDescent="0.45">
      <c r="A39" s="7">
        <v>1038</v>
      </c>
      <c r="B39" s="8" t="s">
        <v>164</v>
      </c>
      <c r="C39" s="8" t="s">
        <v>36</v>
      </c>
      <c r="D39" s="8" t="s">
        <v>24</v>
      </c>
      <c r="E39" s="8" t="s">
        <v>17</v>
      </c>
      <c r="F39" s="8" t="s">
        <v>48</v>
      </c>
      <c r="G39" s="8" t="s">
        <v>165</v>
      </c>
      <c r="H39" s="8" t="s">
        <v>33</v>
      </c>
      <c r="I39" s="8">
        <v>65000</v>
      </c>
      <c r="J39" s="8">
        <v>4</v>
      </c>
      <c r="K39" s="9">
        <v>44350</v>
      </c>
      <c r="L39" s="8">
        <v>4.5999999999999996</v>
      </c>
      <c r="M39" s="10" t="s">
        <v>166</v>
      </c>
      <c r="N39" s="11">
        <v>9000001038</v>
      </c>
    </row>
    <row r="40" spans="1:14" ht="25.5" customHeight="1" x14ac:dyDescent="0.45">
      <c r="A40" s="7">
        <v>1039</v>
      </c>
      <c r="B40" s="8" t="s">
        <v>167</v>
      </c>
      <c r="C40" s="8" t="s">
        <v>77</v>
      </c>
      <c r="D40" s="8" t="s">
        <v>16</v>
      </c>
      <c r="E40" s="8" t="s">
        <v>17</v>
      </c>
      <c r="F40" s="8" t="s">
        <v>103</v>
      </c>
      <c r="G40" s="8" t="s">
        <v>120</v>
      </c>
      <c r="H40" s="8" t="s">
        <v>39</v>
      </c>
      <c r="I40" s="8">
        <v>59000</v>
      </c>
      <c r="J40" s="8">
        <v>3</v>
      </c>
      <c r="K40" s="9">
        <v>44851</v>
      </c>
      <c r="L40" s="8">
        <v>4.0999999999999996</v>
      </c>
      <c r="M40" s="10" t="s">
        <v>168</v>
      </c>
      <c r="N40" s="11">
        <v>9000001039</v>
      </c>
    </row>
    <row r="41" spans="1:14" ht="25.5" customHeight="1" x14ac:dyDescent="0.45">
      <c r="A41" s="7">
        <v>1040</v>
      </c>
      <c r="B41" s="8" t="s">
        <v>169</v>
      </c>
      <c r="C41" s="8" t="s">
        <v>47</v>
      </c>
      <c r="D41" s="8" t="s">
        <v>24</v>
      </c>
      <c r="E41" s="8" t="s">
        <v>17</v>
      </c>
      <c r="F41" s="8" t="s">
        <v>18</v>
      </c>
      <c r="G41" s="8" t="s">
        <v>170</v>
      </c>
      <c r="H41" s="8" t="s">
        <v>44</v>
      </c>
      <c r="I41" s="8">
        <v>53000</v>
      </c>
      <c r="J41" s="8">
        <v>2</v>
      </c>
      <c r="K41" s="9">
        <v>45115</v>
      </c>
      <c r="L41" s="8">
        <v>3.7</v>
      </c>
      <c r="M41" s="10" t="s">
        <v>171</v>
      </c>
      <c r="N41" s="11">
        <v>9000001040</v>
      </c>
    </row>
    <row r="42" spans="1:14" ht="25.5" customHeight="1" x14ac:dyDescent="0.45">
      <c r="A42" s="7">
        <v>1041</v>
      </c>
      <c r="B42" s="8" t="s">
        <v>172</v>
      </c>
      <c r="C42" s="8" t="s">
        <v>173</v>
      </c>
      <c r="D42" s="8" t="s">
        <v>16</v>
      </c>
      <c r="E42" s="8" t="s">
        <v>17</v>
      </c>
      <c r="F42" s="8" t="s">
        <v>31</v>
      </c>
      <c r="G42" s="8" t="s">
        <v>32</v>
      </c>
      <c r="H42" s="8" t="s">
        <v>20</v>
      </c>
      <c r="I42" s="8">
        <v>82000</v>
      </c>
      <c r="J42" s="8">
        <v>6</v>
      </c>
      <c r="K42" s="9">
        <v>43781</v>
      </c>
      <c r="L42" s="8">
        <v>4.9000000000000004</v>
      </c>
      <c r="M42" s="10" t="s">
        <v>174</v>
      </c>
      <c r="N42" s="11">
        <v>9000001041</v>
      </c>
    </row>
    <row r="43" spans="1:14" ht="25.5" customHeight="1" x14ac:dyDescent="0.45">
      <c r="A43" s="7">
        <v>1042</v>
      </c>
      <c r="B43" s="8" t="s">
        <v>175</v>
      </c>
      <c r="C43" s="8" t="s">
        <v>15</v>
      </c>
      <c r="D43" s="8" t="s">
        <v>24</v>
      </c>
      <c r="E43" s="8" t="s">
        <v>17</v>
      </c>
      <c r="F43" s="8" t="s">
        <v>99</v>
      </c>
      <c r="G43" s="8" t="s">
        <v>100</v>
      </c>
      <c r="H43" s="8" t="s">
        <v>27</v>
      </c>
      <c r="I43" s="8">
        <v>54000</v>
      </c>
      <c r="J43" s="8">
        <v>2</v>
      </c>
      <c r="K43" s="9">
        <v>45012</v>
      </c>
      <c r="L43" s="8">
        <v>3.8</v>
      </c>
      <c r="M43" s="10" t="s">
        <v>176</v>
      </c>
      <c r="N43" s="11">
        <v>9000001042</v>
      </c>
    </row>
    <row r="44" spans="1:14" ht="25.5" customHeight="1" x14ac:dyDescent="0.45">
      <c r="A44" s="7">
        <v>1043</v>
      </c>
      <c r="B44" s="8" t="s">
        <v>177</v>
      </c>
      <c r="C44" s="8" t="s">
        <v>85</v>
      </c>
      <c r="D44" s="8" t="s">
        <v>16</v>
      </c>
      <c r="E44" s="8" t="s">
        <v>17</v>
      </c>
      <c r="F44" s="8" t="s">
        <v>62</v>
      </c>
      <c r="G44" s="8" t="s">
        <v>63</v>
      </c>
      <c r="H44" s="8" t="s">
        <v>33</v>
      </c>
      <c r="I44" s="8">
        <v>68000</v>
      </c>
      <c r="J44" s="8">
        <v>5</v>
      </c>
      <c r="K44" s="9">
        <v>44170</v>
      </c>
      <c r="L44" s="8">
        <v>4.5</v>
      </c>
      <c r="M44" s="10" t="s">
        <v>178</v>
      </c>
      <c r="N44" s="11">
        <v>9000001043</v>
      </c>
    </row>
    <row r="45" spans="1:14" ht="25.5" customHeight="1" x14ac:dyDescent="0.45">
      <c r="A45" s="7">
        <v>1044</v>
      </c>
      <c r="B45" s="8" t="s">
        <v>179</v>
      </c>
      <c r="C45" s="8" t="s">
        <v>36</v>
      </c>
      <c r="D45" s="8" t="s">
        <v>24</v>
      </c>
      <c r="E45" s="8" t="s">
        <v>17</v>
      </c>
      <c r="F45" s="8" t="s">
        <v>18</v>
      </c>
      <c r="G45" s="8" t="s">
        <v>78</v>
      </c>
      <c r="H45" s="8" t="s">
        <v>39</v>
      </c>
      <c r="I45" s="8">
        <v>63000</v>
      </c>
      <c r="J45" s="8">
        <v>4</v>
      </c>
      <c r="K45" s="9">
        <v>44424</v>
      </c>
      <c r="L45" s="8">
        <v>4.2</v>
      </c>
      <c r="M45" s="10" t="s">
        <v>180</v>
      </c>
      <c r="N45" s="11">
        <v>9000001044</v>
      </c>
    </row>
    <row r="46" spans="1:14" ht="25.5" customHeight="1" x14ac:dyDescent="0.45">
      <c r="A46" s="7">
        <v>1045</v>
      </c>
      <c r="B46" s="8" t="s">
        <v>181</v>
      </c>
      <c r="C46" s="8" t="s">
        <v>42</v>
      </c>
      <c r="D46" s="8" t="s">
        <v>16</v>
      </c>
      <c r="E46" s="8" t="s">
        <v>17</v>
      </c>
      <c r="F46" s="8" t="s">
        <v>66</v>
      </c>
      <c r="G46" s="8" t="s">
        <v>116</v>
      </c>
      <c r="H46" s="8" t="s">
        <v>44</v>
      </c>
      <c r="I46" s="8">
        <v>52000</v>
      </c>
      <c r="J46" s="8">
        <v>3</v>
      </c>
      <c r="K46" s="9">
        <v>44700</v>
      </c>
      <c r="L46" s="8">
        <v>3.6</v>
      </c>
      <c r="M46" s="10" t="s">
        <v>182</v>
      </c>
      <c r="N46" s="11">
        <v>9000001045</v>
      </c>
    </row>
    <row r="47" spans="1:14" ht="25.5" customHeight="1" x14ac:dyDescent="0.45">
      <c r="A47" s="7">
        <v>1046</v>
      </c>
      <c r="B47" s="8" t="s">
        <v>183</v>
      </c>
      <c r="C47" s="8" t="s">
        <v>23</v>
      </c>
      <c r="D47" s="8" t="s">
        <v>24</v>
      </c>
      <c r="E47" s="8" t="s">
        <v>17</v>
      </c>
      <c r="F47" s="8" t="s">
        <v>25</v>
      </c>
      <c r="G47" s="8" t="s">
        <v>26</v>
      </c>
      <c r="H47" s="8" t="s">
        <v>20</v>
      </c>
      <c r="I47" s="8">
        <v>75000</v>
      </c>
      <c r="J47" s="8">
        <v>5</v>
      </c>
      <c r="K47" s="9">
        <v>43944</v>
      </c>
      <c r="L47" s="8">
        <v>4.7</v>
      </c>
      <c r="M47" s="10" t="s">
        <v>184</v>
      </c>
      <c r="N47" s="11">
        <v>9000001046</v>
      </c>
    </row>
    <row r="48" spans="1:14" ht="25.5" customHeight="1" x14ac:dyDescent="0.45">
      <c r="A48" s="7">
        <v>1047</v>
      </c>
      <c r="B48" s="8" t="s">
        <v>185</v>
      </c>
      <c r="C48" s="8" t="s">
        <v>98</v>
      </c>
      <c r="D48" s="8" t="s">
        <v>16</v>
      </c>
      <c r="E48" s="8" t="s">
        <v>17</v>
      </c>
      <c r="F48" s="8" t="s">
        <v>48</v>
      </c>
      <c r="G48" s="8" t="s">
        <v>49</v>
      </c>
      <c r="H48" s="8" t="s">
        <v>55</v>
      </c>
      <c r="I48" s="8">
        <v>57000</v>
      </c>
      <c r="J48" s="8">
        <v>3</v>
      </c>
      <c r="K48" s="9">
        <v>44830</v>
      </c>
      <c r="L48" s="8">
        <v>4</v>
      </c>
      <c r="M48" s="10" t="s">
        <v>186</v>
      </c>
      <c r="N48" s="11">
        <v>9000001047</v>
      </c>
    </row>
    <row r="49" spans="1:14" ht="25.5" customHeight="1" x14ac:dyDescent="0.45">
      <c r="A49" s="7">
        <v>1048</v>
      </c>
      <c r="B49" s="8" t="s">
        <v>187</v>
      </c>
      <c r="C49" s="8" t="s">
        <v>89</v>
      </c>
      <c r="D49" s="8" t="s">
        <v>24</v>
      </c>
      <c r="E49" s="8" t="s">
        <v>17</v>
      </c>
      <c r="F49" s="8" t="s">
        <v>53</v>
      </c>
      <c r="G49" s="8" t="s">
        <v>54</v>
      </c>
      <c r="H49" s="8" t="s">
        <v>33</v>
      </c>
      <c r="I49" s="8">
        <v>66000</v>
      </c>
      <c r="J49" s="8">
        <v>4</v>
      </c>
      <c r="K49" s="9">
        <v>44273</v>
      </c>
      <c r="L49" s="8">
        <v>4.3</v>
      </c>
      <c r="M49" s="10" t="s">
        <v>188</v>
      </c>
      <c r="N49" s="11">
        <v>9000001048</v>
      </c>
    </row>
    <row r="50" spans="1:14" ht="25.5" customHeight="1" x14ac:dyDescent="0.45">
      <c r="A50" s="7">
        <v>1049</v>
      </c>
      <c r="B50" s="8" t="s">
        <v>189</v>
      </c>
      <c r="C50" s="8" t="s">
        <v>15</v>
      </c>
      <c r="D50" s="8" t="s">
        <v>16</v>
      </c>
      <c r="E50" s="8" t="s">
        <v>17</v>
      </c>
      <c r="F50" s="8" t="s">
        <v>31</v>
      </c>
      <c r="G50" s="8" t="s">
        <v>32</v>
      </c>
      <c r="H50" s="8" t="s">
        <v>39</v>
      </c>
      <c r="I50" s="8">
        <v>61000</v>
      </c>
      <c r="J50" s="8">
        <v>3</v>
      </c>
      <c r="K50" s="9">
        <v>44906</v>
      </c>
      <c r="L50" s="8">
        <v>3.9</v>
      </c>
      <c r="M50" s="10" t="s">
        <v>190</v>
      </c>
      <c r="N50" s="11">
        <v>9000001049</v>
      </c>
    </row>
    <row r="51" spans="1:14" ht="25.5" customHeight="1" x14ac:dyDescent="0.45">
      <c r="A51" s="7">
        <v>1050</v>
      </c>
      <c r="B51" s="8" t="s">
        <v>191</v>
      </c>
      <c r="C51" s="8" t="s">
        <v>23</v>
      </c>
      <c r="D51" s="8" t="s">
        <v>24</v>
      </c>
      <c r="E51" s="8" t="s">
        <v>17</v>
      </c>
      <c r="F51" s="8" t="s">
        <v>18</v>
      </c>
      <c r="G51" s="8" t="s">
        <v>19</v>
      </c>
      <c r="H51" s="8" t="s">
        <v>27</v>
      </c>
      <c r="I51" s="8">
        <v>58000</v>
      </c>
      <c r="J51" s="8">
        <v>4</v>
      </c>
      <c r="K51" s="9">
        <v>44382</v>
      </c>
      <c r="L51" s="8">
        <v>4.4000000000000004</v>
      </c>
      <c r="M51" s="10" t="s">
        <v>192</v>
      </c>
      <c r="N51" s="11">
        <v>9000001050</v>
      </c>
    </row>
    <row r="52" spans="1:14" ht="25.5" customHeight="1" x14ac:dyDescent="0.45">
      <c r="A52" s="7">
        <v>1051</v>
      </c>
      <c r="B52" s="8" t="s">
        <v>193</v>
      </c>
      <c r="C52" s="8" t="s">
        <v>36</v>
      </c>
      <c r="D52" s="8" t="s">
        <v>24</v>
      </c>
      <c r="E52" s="8" t="s">
        <v>17</v>
      </c>
      <c r="F52" s="8" t="s">
        <v>25</v>
      </c>
      <c r="G52" s="8" t="s">
        <v>194</v>
      </c>
      <c r="H52" s="8" t="s">
        <v>20</v>
      </c>
      <c r="I52" s="8">
        <v>67000</v>
      </c>
      <c r="J52" s="8">
        <v>3</v>
      </c>
      <c r="K52" s="9">
        <v>44606</v>
      </c>
      <c r="L52" s="8">
        <v>4.0999999999999996</v>
      </c>
      <c r="M52" s="10" t="s">
        <v>195</v>
      </c>
      <c r="N52" s="11">
        <v>9000001051</v>
      </c>
    </row>
    <row r="53" spans="1:14" ht="25.5" customHeight="1" x14ac:dyDescent="0.45">
      <c r="A53" s="7">
        <v>1052</v>
      </c>
      <c r="B53" s="8" t="s">
        <v>196</v>
      </c>
      <c r="C53" s="8" t="s">
        <v>30</v>
      </c>
      <c r="D53" s="8" t="s">
        <v>16</v>
      </c>
      <c r="E53" s="8" t="s">
        <v>17</v>
      </c>
      <c r="F53" s="8" t="s">
        <v>18</v>
      </c>
      <c r="G53" s="8" t="s">
        <v>112</v>
      </c>
      <c r="H53" s="8" t="s">
        <v>33</v>
      </c>
      <c r="I53" s="8">
        <v>70000</v>
      </c>
      <c r="J53" s="8">
        <v>5</v>
      </c>
      <c r="K53" s="9">
        <v>44034</v>
      </c>
      <c r="L53" s="8">
        <v>4.5999999999999996</v>
      </c>
      <c r="M53" s="10" t="s">
        <v>197</v>
      </c>
      <c r="N53" s="11">
        <v>9000001052</v>
      </c>
    </row>
    <row r="54" spans="1:14" ht="25.5" customHeight="1" x14ac:dyDescent="0.45">
      <c r="A54" s="7">
        <v>1053</v>
      </c>
      <c r="B54" s="8" t="s">
        <v>198</v>
      </c>
      <c r="C54" s="8" t="s">
        <v>23</v>
      </c>
      <c r="D54" s="8" t="s">
        <v>16</v>
      </c>
      <c r="E54" s="8" t="s">
        <v>17</v>
      </c>
      <c r="F54" s="8" t="s">
        <v>62</v>
      </c>
      <c r="G54" s="8" t="s">
        <v>199</v>
      </c>
      <c r="H54" s="8" t="s">
        <v>44</v>
      </c>
      <c r="I54" s="8">
        <v>49000</v>
      </c>
      <c r="J54" s="8">
        <v>2</v>
      </c>
      <c r="K54" s="9">
        <v>45092</v>
      </c>
      <c r="L54" s="8">
        <v>3.3</v>
      </c>
      <c r="M54" s="10" t="s">
        <v>200</v>
      </c>
      <c r="N54" s="11">
        <v>9000001053</v>
      </c>
    </row>
    <row r="55" spans="1:14" ht="25.5" customHeight="1" x14ac:dyDescent="0.45">
      <c r="A55" s="7">
        <v>1054</v>
      </c>
      <c r="B55" s="8" t="s">
        <v>201</v>
      </c>
      <c r="C55" s="8" t="s">
        <v>119</v>
      </c>
      <c r="D55" s="8" t="s">
        <v>24</v>
      </c>
      <c r="E55" s="8" t="s">
        <v>17</v>
      </c>
      <c r="F55" s="8" t="s">
        <v>103</v>
      </c>
      <c r="G55" s="8" t="s">
        <v>104</v>
      </c>
      <c r="H55" s="8" t="s">
        <v>27</v>
      </c>
      <c r="I55" s="8">
        <v>56000</v>
      </c>
      <c r="J55" s="8">
        <v>3</v>
      </c>
      <c r="K55" s="9">
        <v>44842</v>
      </c>
      <c r="L55" s="8">
        <v>4</v>
      </c>
      <c r="M55" s="10" t="s">
        <v>202</v>
      </c>
      <c r="N55" s="11">
        <v>9000001054</v>
      </c>
    </row>
    <row r="56" spans="1:14" ht="25.5" customHeight="1" x14ac:dyDescent="0.45">
      <c r="A56" s="7">
        <v>1055</v>
      </c>
      <c r="B56" s="8" t="s">
        <v>203</v>
      </c>
      <c r="C56" s="8" t="s">
        <v>204</v>
      </c>
      <c r="D56" s="8" t="s">
        <v>16</v>
      </c>
      <c r="E56" s="8" t="s">
        <v>17</v>
      </c>
      <c r="F56" s="8" t="s">
        <v>94</v>
      </c>
      <c r="G56" s="8" t="s">
        <v>95</v>
      </c>
      <c r="H56" s="8" t="s">
        <v>20</v>
      </c>
      <c r="I56" s="8">
        <v>79000</v>
      </c>
      <c r="J56" s="8">
        <v>6</v>
      </c>
      <c r="K56" s="9">
        <v>43602</v>
      </c>
      <c r="L56" s="8">
        <v>4.8</v>
      </c>
      <c r="M56" s="10" t="s">
        <v>205</v>
      </c>
      <c r="N56" s="11">
        <v>9000001055</v>
      </c>
    </row>
    <row r="57" spans="1:14" ht="25.5" customHeight="1" x14ac:dyDescent="0.45">
      <c r="A57" s="7">
        <v>1056</v>
      </c>
      <c r="B57" s="8" t="s">
        <v>206</v>
      </c>
      <c r="C57" s="8" t="s">
        <v>162</v>
      </c>
      <c r="D57" s="8" t="s">
        <v>24</v>
      </c>
      <c r="E57" s="8" t="s">
        <v>17</v>
      </c>
      <c r="F57" s="8" t="s">
        <v>18</v>
      </c>
      <c r="G57" s="8" t="s">
        <v>43</v>
      </c>
      <c r="H57" s="8" t="s">
        <v>39</v>
      </c>
      <c r="I57" s="8">
        <v>60000</v>
      </c>
      <c r="J57" s="8">
        <v>4</v>
      </c>
      <c r="K57" s="9">
        <v>44551</v>
      </c>
      <c r="L57" s="8">
        <v>4.3</v>
      </c>
      <c r="M57" s="10" t="s">
        <v>207</v>
      </c>
      <c r="N57" s="11">
        <v>9000001056</v>
      </c>
    </row>
    <row r="58" spans="1:14" ht="25.5" customHeight="1" x14ac:dyDescent="0.45">
      <c r="A58" s="7">
        <v>1057</v>
      </c>
      <c r="B58" s="8" t="s">
        <v>208</v>
      </c>
      <c r="C58" s="8" t="s">
        <v>47</v>
      </c>
      <c r="D58" s="8" t="s">
        <v>16</v>
      </c>
      <c r="E58" s="8" t="s">
        <v>17</v>
      </c>
      <c r="F58" s="8" t="s">
        <v>48</v>
      </c>
      <c r="G58" s="8" t="s">
        <v>209</v>
      </c>
      <c r="H58" s="8" t="s">
        <v>55</v>
      </c>
      <c r="I58" s="8">
        <v>55000</v>
      </c>
      <c r="J58" s="8">
        <v>3</v>
      </c>
      <c r="K58" s="9">
        <v>44723</v>
      </c>
      <c r="L58" s="8">
        <v>3.8</v>
      </c>
      <c r="M58" s="10" t="s">
        <v>210</v>
      </c>
      <c r="N58" s="11">
        <v>9000001057</v>
      </c>
    </row>
    <row r="59" spans="1:14" ht="25.5" customHeight="1" x14ac:dyDescent="0.45">
      <c r="A59" s="7">
        <v>1058</v>
      </c>
      <c r="B59" s="8" t="s">
        <v>211</v>
      </c>
      <c r="C59" s="8" t="s">
        <v>212</v>
      </c>
      <c r="D59" s="8" t="s">
        <v>24</v>
      </c>
      <c r="E59" s="8" t="s">
        <v>17</v>
      </c>
      <c r="F59" s="8" t="s">
        <v>37</v>
      </c>
      <c r="G59" s="8" t="s">
        <v>38</v>
      </c>
      <c r="H59" s="8" t="s">
        <v>33</v>
      </c>
      <c r="I59" s="8">
        <v>73000</v>
      </c>
      <c r="J59" s="8">
        <v>5</v>
      </c>
      <c r="K59" s="9">
        <v>43890</v>
      </c>
      <c r="L59" s="8">
        <v>4.7</v>
      </c>
      <c r="M59" s="10" t="s">
        <v>213</v>
      </c>
      <c r="N59" s="11">
        <v>9000001058</v>
      </c>
    </row>
    <row r="60" spans="1:14" ht="25.5" customHeight="1" x14ac:dyDescent="0.45">
      <c r="A60" s="7">
        <v>1059</v>
      </c>
      <c r="B60" s="8" t="s">
        <v>214</v>
      </c>
      <c r="C60" s="8" t="s">
        <v>42</v>
      </c>
      <c r="D60" s="8" t="s">
        <v>16</v>
      </c>
      <c r="E60" s="8" t="s">
        <v>17</v>
      </c>
      <c r="F60" s="8" t="s">
        <v>58</v>
      </c>
      <c r="G60" s="8" t="s">
        <v>59</v>
      </c>
      <c r="H60" s="8" t="s">
        <v>44</v>
      </c>
      <c r="I60" s="8">
        <v>51000</v>
      </c>
      <c r="J60" s="8">
        <v>2</v>
      </c>
      <c r="K60" s="9">
        <v>45035</v>
      </c>
      <c r="L60" s="8">
        <v>3.5</v>
      </c>
      <c r="M60" s="10" t="s">
        <v>215</v>
      </c>
      <c r="N60" s="11">
        <v>9000001059</v>
      </c>
    </row>
    <row r="61" spans="1:14" ht="25.5" customHeight="1" x14ac:dyDescent="0.45">
      <c r="A61" s="7">
        <v>1060</v>
      </c>
      <c r="B61" s="8" t="s">
        <v>216</v>
      </c>
      <c r="C61" s="8" t="s">
        <v>15</v>
      </c>
      <c r="D61" s="8" t="s">
        <v>24</v>
      </c>
      <c r="E61" s="8" t="s">
        <v>17</v>
      </c>
      <c r="F61" s="8" t="s">
        <v>66</v>
      </c>
      <c r="G61" s="8" t="s">
        <v>67</v>
      </c>
      <c r="H61" s="8" t="s">
        <v>27</v>
      </c>
      <c r="I61" s="8">
        <v>62000</v>
      </c>
      <c r="J61" s="8">
        <v>4</v>
      </c>
      <c r="K61" s="9">
        <v>44446</v>
      </c>
      <c r="L61" s="8">
        <v>4.4000000000000004</v>
      </c>
      <c r="M61" s="10" t="s">
        <v>217</v>
      </c>
      <c r="N61" s="11">
        <v>9000001060</v>
      </c>
    </row>
    <row r="62" spans="1:14" ht="25.5" customHeight="1" x14ac:dyDescent="0.45">
      <c r="A62" s="7">
        <v>1061</v>
      </c>
      <c r="B62" s="8" t="s">
        <v>218</v>
      </c>
      <c r="C62" s="8" t="s">
        <v>52</v>
      </c>
      <c r="D62" s="8" t="s">
        <v>16</v>
      </c>
      <c r="E62" s="8" t="s">
        <v>17</v>
      </c>
      <c r="F62" s="8" t="s">
        <v>53</v>
      </c>
      <c r="G62" s="8" t="s">
        <v>90</v>
      </c>
      <c r="H62" s="8" t="s">
        <v>20</v>
      </c>
      <c r="I62" s="8">
        <v>74000</v>
      </c>
      <c r="J62" s="8">
        <v>5</v>
      </c>
      <c r="K62" s="9">
        <v>44151</v>
      </c>
      <c r="L62" s="8">
        <v>4.5999999999999996</v>
      </c>
      <c r="M62" s="10" t="s">
        <v>219</v>
      </c>
      <c r="N62" s="11">
        <v>9000001061</v>
      </c>
    </row>
    <row r="63" spans="1:14" ht="25.5" customHeight="1" x14ac:dyDescent="0.45">
      <c r="A63" s="7">
        <v>1062</v>
      </c>
      <c r="B63" s="8" t="s">
        <v>220</v>
      </c>
      <c r="C63" s="8" t="s">
        <v>30</v>
      </c>
      <c r="D63" s="8" t="s">
        <v>24</v>
      </c>
      <c r="E63" s="8" t="s">
        <v>17</v>
      </c>
      <c r="F63" s="8" t="s">
        <v>18</v>
      </c>
      <c r="G63" s="8" t="s">
        <v>123</v>
      </c>
      <c r="H63" s="8" t="s">
        <v>39</v>
      </c>
      <c r="I63" s="8">
        <v>57000</v>
      </c>
      <c r="J63" s="8">
        <v>3</v>
      </c>
      <c r="K63" s="9">
        <v>44589</v>
      </c>
      <c r="L63" s="8">
        <v>3.9</v>
      </c>
      <c r="M63" s="10" t="s">
        <v>221</v>
      </c>
      <c r="N63" s="11">
        <v>9000001062</v>
      </c>
    </row>
    <row r="64" spans="1:14" ht="25.5" customHeight="1" x14ac:dyDescent="0.45">
      <c r="A64" s="7">
        <v>1063</v>
      </c>
      <c r="B64" s="8" t="s">
        <v>222</v>
      </c>
      <c r="C64" s="8" t="s">
        <v>36</v>
      </c>
      <c r="D64" s="8" t="s">
        <v>16</v>
      </c>
      <c r="E64" s="8" t="s">
        <v>17</v>
      </c>
      <c r="F64" s="8" t="s">
        <v>31</v>
      </c>
      <c r="G64" s="8" t="s">
        <v>32</v>
      </c>
      <c r="H64" s="8" t="s">
        <v>33</v>
      </c>
      <c r="I64" s="8">
        <v>69000</v>
      </c>
      <c r="J64" s="8">
        <v>4</v>
      </c>
      <c r="K64" s="9">
        <v>44322</v>
      </c>
      <c r="L64" s="8">
        <v>4.2</v>
      </c>
      <c r="M64" s="10" t="s">
        <v>223</v>
      </c>
      <c r="N64" s="11">
        <v>9000001063</v>
      </c>
    </row>
    <row r="65" spans="1:14" ht="25.5" customHeight="1" x14ac:dyDescent="0.45">
      <c r="A65" s="7">
        <v>1064</v>
      </c>
      <c r="B65" s="8" t="s">
        <v>224</v>
      </c>
      <c r="C65" s="8" t="s">
        <v>23</v>
      </c>
      <c r="D65" s="8" t="s">
        <v>24</v>
      </c>
      <c r="E65" s="8" t="s">
        <v>17</v>
      </c>
      <c r="F65" s="8" t="s">
        <v>62</v>
      </c>
      <c r="G65" s="8" t="s">
        <v>63</v>
      </c>
      <c r="H65" s="8" t="s">
        <v>44</v>
      </c>
      <c r="I65" s="8">
        <v>50000</v>
      </c>
      <c r="J65" s="8">
        <v>2</v>
      </c>
      <c r="K65" s="9">
        <v>45150</v>
      </c>
      <c r="L65" s="8">
        <v>3.6</v>
      </c>
      <c r="M65" s="10" t="s">
        <v>225</v>
      </c>
      <c r="N65" s="11">
        <v>9000001064</v>
      </c>
    </row>
    <row r="66" spans="1:14" ht="25.5" customHeight="1" x14ac:dyDescent="0.45">
      <c r="A66" s="7">
        <v>1065</v>
      </c>
      <c r="B66" s="8" t="s">
        <v>226</v>
      </c>
      <c r="C66" s="8" t="s">
        <v>85</v>
      </c>
      <c r="D66" s="8" t="s">
        <v>16</v>
      </c>
      <c r="E66" s="8" t="s">
        <v>17</v>
      </c>
      <c r="F66" s="8" t="s">
        <v>18</v>
      </c>
      <c r="G66" s="8" t="s">
        <v>19</v>
      </c>
      <c r="H66" s="8" t="s">
        <v>55</v>
      </c>
      <c r="I66" s="8">
        <v>59000</v>
      </c>
      <c r="J66" s="8">
        <v>3</v>
      </c>
      <c r="K66" s="9">
        <v>44636</v>
      </c>
      <c r="L66" s="8">
        <v>4</v>
      </c>
      <c r="M66" s="10" t="s">
        <v>227</v>
      </c>
      <c r="N66" s="11">
        <v>9000001065</v>
      </c>
    </row>
    <row r="67" spans="1:14" ht="25.5" customHeight="1" x14ac:dyDescent="0.45">
      <c r="A67" s="7">
        <v>1066</v>
      </c>
      <c r="B67" s="8" t="s">
        <v>228</v>
      </c>
      <c r="C67" s="8" t="s">
        <v>98</v>
      </c>
      <c r="D67" s="8" t="s">
        <v>24</v>
      </c>
      <c r="E67" s="8" t="s">
        <v>17</v>
      </c>
      <c r="F67" s="8" t="s">
        <v>99</v>
      </c>
      <c r="G67" s="8" t="s">
        <v>100</v>
      </c>
      <c r="H67" s="8" t="s">
        <v>20</v>
      </c>
      <c r="I67" s="8">
        <v>71000</v>
      </c>
      <c r="J67" s="8">
        <v>4</v>
      </c>
      <c r="K67" s="9">
        <v>44498</v>
      </c>
      <c r="L67" s="8">
        <v>4.5</v>
      </c>
      <c r="M67" s="10" t="s">
        <v>229</v>
      </c>
      <c r="N67" s="11">
        <v>9000001066</v>
      </c>
    </row>
    <row r="68" spans="1:14" ht="25.5" customHeight="1" x14ac:dyDescent="0.45">
      <c r="A68" s="7">
        <v>1067</v>
      </c>
      <c r="B68" s="8" t="s">
        <v>230</v>
      </c>
      <c r="C68" s="8" t="s">
        <v>89</v>
      </c>
      <c r="D68" s="8" t="s">
        <v>16</v>
      </c>
      <c r="E68" s="8" t="s">
        <v>17</v>
      </c>
      <c r="F68" s="8" t="s">
        <v>53</v>
      </c>
      <c r="G68" s="8" t="s">
        <v>54</v>
      </c>
      <c r="H68" s="8" t="s">
        <v>33</v>
      </c>
      <c r="I68" s="8">
        <v>64000</v>
      </c>
      <c r="J68" s="8">
        <v>3</v>
      </c>
      <c r="K68" s="9">
        <v>44749</v>
      </c>
      <c r="L68" s="8">
        <v>4.0999999999999996</v>
      </c>
      <c r="M68" s="10" t="s">
        <v>231</v>
      </c>
      <c r="N68" s="11">
        <v>9000001067</v>
      </c>
    </row>
    <row r="69" spans="1:14" ht="25.5" customHeight="1" x14ac:dyDescent="0.45">
      <c r="A69" s="7">
        <v>1068</v>
      </c>
      <c r="B69" s="8" t="s">
        <v>232</v>
      </c>
      <c r="C69" s="8" t="s">
        <v>73</v>
      </c>
      <c r="D69" s="8" t="s">
        <v>24</v>
      </c>
      <c r="E69" s="8" t="s">
        <v>17</v>
      </c>
      <c r="F69" s="8" t="s">
        <v>25</v>
      </c>
      <c r="G69" s="8" t="s">
        <v>74</v>
      </c>
      <c r="H69" s="8" t="s">
        <v>27</v>
      </c>
      <c r="I69" s="8">
        <v>58000</v>
      </c>
      <c r="J69" s="8">
        <v>4</v>
      </c>
      <c r="K69" s="9">
        <v>44215</v>
      </c>
      <c r="L69" s="8">
        <v>4.3</v>
      </c>
      <c r="M69" s="10" t="s">
        <v>233</v>
      </c>
      <c r="N69" s="11">
        <v>9000001068</v>
      </c>
    </row>
    <row r="70" spans="1:14" ht="25.5" customHeight="1" x14ac:dyDescent="0.45">
      <c r="A70" s="7">
        <v>1069</v>
      </c>
      <c r="B70" s="8" t="s">
        <v>234</v>
      </c>
      <c r="C70" s="8" t="s">
        <v>93</v>
      </c>
      <c r="D70" s="8" t="s">
        <v>16</v>
      </c>
      <c r="E70" s="8" t="s">
        <v>17</v>
      </c>
      <c r="F70" s="8" t="s">
        <v>94</v>
      </c>
      <c r="G70" s="8" t="s">
        <v>95</v>
      </c>
      <c r="H70" s="8" t="s">
        <v>44</v>
      </c>
      <c r="I70" s="8">
        <v>56000</v>
      </c>
      <c r="J70" s="8">
        <v>3</v>
      </c>
      <c r="K70" s="9">
        <v>44868</v>
      </c>
      <c r="L70" s="8">
        <v>3.8</v>
      </c>
      <c r="M70" s="10" t="s">
        <v>235</v>
      </c>
      <c r="N70" s="11">
        <v>9000001069</v>
      </c>
    </row>
    <row r="71" spans="1:14" ht="25.5" customHeight="1" x14ac:dyDescent="0.45">
      <c r="A71" s="7">
        <v>1070</v>
      </c>
      <c r="B71" s="8" t="s">
        <v>236</v>
      </c>
      <c r="C71" s="8" t="s">
        <v>136</v>
      </c>
      <c r="D71" s="8" t="s">
        <v>24</v>
      </c>
      <c r="E71" s="8" t="s">
        <v>17</v>
      </c>
      <c r="F71" s="8" t="s">
        <v>62</v>
      </c>
      <c r="G71" s="8" t="s">
        <v>109</v>
      </c>
      <c r="H71" s="8" t="s">
        <v>39</v>
      </c>
      <c r="I71" s="8">
        <v>61000</v>
      </c>
      <c r="J71" s="8">
        <v>4</v>
      </c>
      <c r="K71" s="9">
        <v>44375</v>
      </c>
      <c r="L71" s="8">
        <v>4.4000000000000004</v>
      </c>
      <c r="M71" s="10" t="s">
        <v>237</v>
      </c>
      <c r="N71" s="11">
        <v>9000001070</v>
      </c>
    </row>
    <row r="72" spans="1:14" ht="25.5" customHeight="1" x14ac:dyDescent="0.45">
      <c r="A72" s="7">
        <v>1071</v>
      </c>
      <c r="B72" s="8" t="s">
        <v>14</v>
      </c>
      <c r="C72" s="8" t="s">
        <v>15</v>
      </c>
      <c r="D72" s="8" t="s">
        <v>16</v>
      </c>
      <c r="E72" s="8" t="s">
        <v>17</v>
      </c>
      <c r="F72" s="8" t="s">
        <v>18</v>
      </c>
      <c r="G72" s="8" t="s">
        <v>19</v>
      </c>
      <c r="H72" s="8" t="s">
        <v>20</v>
      </c>
      <c r="I72" s="8">
        <v>65000</v>
      </c>
      <c r="J72" s="8">
        <v>3</v>
      </c>
      <c r="K72" s="9">
        <v>44663</v>
      </c>
      <c r="L72" s="8">
        <v>4.2</v>
      </c>
      <c r="M72" s="10" t="s">
        <v>21</v>
      </c>
      <c r="N72" s="11">
        <v>9000001001</v>
      </c>
    </row>
    <row r="73" spans="1:14" ht="25.5" customHeight="1" x14ac:dyDescent="0.45">
      <c r="A73" s="7">
        <v>1072</v>
      </c>
      <c r="B73" s="8" t="s">
        <v>22</v>
      </c>
      <c r="C73" s="8" t="s">
        <v>23</v>
      </c>
      <c r="D73" s="8" t="s">
        <v>24</v>
      </c>
      <c r="E73" s="8" t="s">
        <v>17</v>
      </c>
      <c r="F73" s="8" t="s">
        <v>25</v>
      </c>
      <c r="G73" s="8" t="s">
        <v>26</v>
      </c>
      <c r="H73" s="8" t="s">
        <v>27</v>
      </c>
      <c r="I73" s="8">
        <v>58000</v>
      </c>
      <c r="J73" s="8">
        <v>4</v>
      </c>
      <c r="K73" s="9">
        <v>44429</v>
      </c>
      <c r="L73" s="8">
        <v>4.5</v>
      </c>
      <c r="M73" s="10" t="s">
        <v>28</v>
      </c>
      <c r="N73" s="11">
        <v>9000001002</v>
      </c>
    </row>
    <row r="74" spans="1:14" ht="25.5" customHeight="1" x14ac:dyDescent="0.45">
      <c r="A74" s="7">
        <v>1073</v>
      </c>
      <c r="B74" s="8" t="s">
        <v>29</v>
      </c>
      <c r="C74" s="8" t="s">
        <v>30</v>
      </c>
      <c r="D74" s="8" t="s">
        <v>16</v>
      </c>
      <c r="E74" s="8" t="s">
        <v>17</v>
      </c>
      <c r="F74" s="8" t="s">
        <v>31</v>
      </c>
      <c r="G74" s="8" t="s">
        <v>32</v>
      </c>
      <c r="H74" s="8" t="s">
        <v>33</v>
      </c>
      <c r="I74" s="8">
        <v>72000</v>
      </c>
      <c r="J74" s="8">
        <v>5</v>
      </c>
      <c r="K74" s="9">
        <v>43905</v>
      </c>
      <c r="L74" s="8">
        <v>4.0999999999999996</v>
      </c>
      <c r="M74" s="10" t="s">
        <v>34</v>
      </c>
      <c r="N74" s="11">
        <v>9000001003</v>
      </c>
    </row>
    <row r="75" spans="1:14" ht="25.5" customHeight="1" x14ac:dyDescent="0.45">
      <c r="A75" s="7">
        <v>1074</v>
      </c>
      <c r="B75" s="8" t="s">
        <v>35</v>
      </c>
      <c r="C75" s="8" t="s">
        <v>36</v>
      </c>
      <c r="D75" s="8" t="s">
        <v>24</v>
      </c>
      <c r="E75" s="8" t="s">
        <v>17</v>
      </c>
      <c r="F75" s="8" t="s">
        <v>37</v>
      </c>
      <c r="G75" s="8" t="s">
        <v>38</v>
      </c>
      <c r="H75" s="8" t="s">
        <v>39</v>
      </c>
      <c r="I75" s="8">
        <v>61000</v>
      </c>
      <c r="J75" s="8">
        <v>3</v>
      </c>
      <c r="K75" s="9">
        <v>44752</v>
      </c>
      <c r="L75" s="8">
        <v>3.8</v>
      </c>
      <c r="M75" s="10" t="s">
        <v>40</v>
      </c>
      <c r="N75" s="11">
        <v>9000001004</v>
      </c>
    </row>
    <row r="76" spans="1:14" ht="25.5" customHeight="1" x14ac:dyDescent="0.45">
      <c r="A76" s="7">
        <v>1075</v>
      </c>
      <c r="B76" s="8" t="s">
        <v>41</v>
      </c>
      <c r="C76" s="8" t="s">
        <v>42</v>
      </c>
      <c r="D76" s="8" t="s">
        <v>16</v>
      </c>
      <c r="E76" s="8" t="s">
        <v>17</v>
      </c>
      <c r="F76" s="8" t="s">
        <v>18</v>
      </c>
      <c r="G76" s="8" t="s">
        <v>43</v>
      </c>
      <c r="H76" s="8" t="s">
        <v>44</v>
      </c>
      <c r="I76" s="8">
        <v>52000</v>
      </c>
      <c r="J76" s="8">
        <v>2</v>
      </c>
      <c r="K76" s="9">
        <v>44944</v>
      </c>
      <c r="L76" s="8">
        <v>3.6</v>
      </c>
      <c r="M76" s="10" t="s">
        <v>45</v>
      </c>
      <c r="N76" s="11">
        <v>9000001005</v>
      </c>
    </row>
    <row r="77" spans="1:14" ht="25.5" customHeight="1" x14ac:dyDescent="0.45">
      <c r="A77" s="7">
        <v>1076</v>
      </c>
      <c r="B77" s="8" t="s">
        <v>46</v>
      </c>
      <c r="C77" s="8" t="s">
        <v>47</v>
      </c>
      <c r="D77" s="8" t="s">
        <v>24</v>
      </c>
      <c r="E77" s="8" t="s">
        <v>17</v>
      </c>
      <c r="F77" s="8" t="s">
        <v>48</v>
      </c>
      <c r="G77" s="8" t="s">
        <v>49</v>
      </c>
      <c r="H77" s="8" t="s">
        <v>20</v>
      </c>
      <c r="I77" s="8">
        <v>68000</v>
      </c>
      <c r="J77" s="8">
        <v>4</v>
      </c>
      <c r="K77" s="9">
        <v>44505</v>
      </c>
      <c r="L77" s="8">
        <v>4.7</v>
      </c>
      <c r="M77" s="10" t="s">
        <v>50</v>
      </c>
      <c r="N77" s="11">
        <v>9000001006</v>
      </c>
    </row>
    <row r="78" spans="1:14" ht="25.5" customHeight="1" x14ac:dyDescent="0.45">
      <c r="A78" s="7">
        <v>1077</v>
      </c>
      <c r="B78" s="8" t="s">
        <v>51</v>
      </c>
      <c r="C78" s="8" t="s">
        <v>52</v>
      </c>
      <c r="D78" s="8" t="s">
        <v>16</v>
      </c>
      <c r="E78" s="8" t="s">
        <v>17</v>
      </c>
      <c r="F78" s="8" t="s">
        <v>53</v>
      </c>
      <c r="G78" s="8" t="s">
        <v>54</v>
      </c>
      <c r="H78" s="8" t="s">
        <v>55</v>
      </c>
      <c r="I78" s="8">
        <v>59000</v>
      </c>
      <c r="J78" s="8">
        <v>3</v>
      </c>
      <c r="K78" s="9">
        <v>44703</v>
      </c>
      <c r="L78" s="8">
        <v>4</v>
      </c>
      <c r="M78" s="10" t="s">
        <v>56</v>
      </c>
      <c r="N78" s="11">
        <v>9000001007</v>
      </c>
    </row>
    <row r="79" spans="1:14" ht="25.5" customHeight="1" x14ac:dyDescent="0.45">
      <c r="A79" s="7">
        <v>1078</v>
      </c>
      <c r="B79" s="8" t="s">
        <v>57</v>
      </c>
      <c r="C79" s="8" t="s">
        <v>15</v>
      </c>
      <c r="D79" s="8" t="s">
        <v>24</v>
      </c>
      <c r="E79" s="8" t="s">
        <v>17</v>
      </c>
      <c r="F79" s="8" t="s">
        <v>58</v>
      </c>
      <c r="G79" s="8" t="s">
        <v>59</v>
      </c>
      <c r="H79" s="8" t="s">
        <v>27</v>
      </c>
      <c r="I79" s="8">
        <v>55000</v>
      </c>
      <c r="J79" s="8">
        <v>2</v>
      </c>
      <c r="K79" s="9">
        <v>44996</v>
      </c>
      <c r="L79" s="8">
        <v>3.9</v>
      </c>
      <c r="M79" s="10" t="s">
        <v>60</v>
      </c>
      <c r="N79" s="11">
        <v>9000001008</v>
      </c>
    </row>
    <row r="80" spans="1:14" ht="25.5" customHeight="1" x14ac:dyDescent="0.45">
      <c r="A80" s="7">
        <v>1079</v>
      </c>
      <c r="B80" s="8" t="s">
        <v>61</v>
      </c>
      <c r="C80" s="8" t="s">
        <v>23</v>
      </c>
      <c r="D80" s="8" t="s">
        <v>16</v>
      </c>
      <c r="E80" s="8" t="s">
        <v>17</v>
      </c>
      <c r="F80" s="8" t="s">
        <v>62</v>
      </c>
      <c r="G80" s="8" t="s">
        <v>63</v>
      </c>
      <c r="H80" s="8" t="s">
        <v>33</v>
      </c>
      <c r="I80" s="8">
        <v>63000</v>
      </c>
      <c r="J80" s="8">
        <v>4</v>
      </c>
      <c r="K80" s="9">
        <v>44364</v>
      </c>
      <c r="L80" s="8">
        <v>4.3</v>
      </c>
      <c r="M80" s="10" t="s">
        <v>64</v>
      </c>
      <c r="N80" s="11">
        <v>9000001009</v>
      </c>
    </row>
    <row r="81" spans="1:14" ht="25.5" customHeight="1" x14ac:dyDescent="0.45">
      <c r="A81" s="7">
        <v>1080</v>
      </c>
      <c r="B81" s="8" t="s">
        <v>65</v>
      </c>
      <c r="C81" s="8" t="s">
        <v>30</v>
      </c>
      <c r="D81" s="8" t="s">
        <v>24</v>
      </c>
      <c r="E81" s="8" t="s">
        <v>17</v>
      </c>
      <c r="F81" s="8" t="s">
        <v>66</v>
      </c>
      <c r="G81" s="8" t="s">
        <v>67</v>
      </c>
      <c r="H81" s="8" t="s">
        <v>39</v>
      </c>
      <c r="I81" s="8">
        <v>60000</v>
      </c>
      <c r="J81" s="8">
        <v>3</v>
      </c>
      <c r="K81" s="9">
        <v>44805</v>
      </c>
      <c r="L81" s="8">
        <v>4.4000000000000004</v>
      </c>
      <c r="M81" s="10" t="s">
        <v>68</v>
      </c>
      <c r="N81" s="11">
        <v>9000001010</v>
      </c>
    </row>
    <row r="82" spans="1:14" ht="25.5" customHeight="1" x14ac:dyDescent="0.45">
      <c r="A82" s="7">
        <v>1081</v>
      </c>
      <c r="B82" s="8" t="s">
        <v>69</v>
      </c>
      <c r="C82" s="8" t="s">
        <v>70</v>
      </c>
      <c r="D82" s="8" t="s">
        <v>16</v>
      </c>
      <c r="E82" s="8" t="s">
        <v>17</v>
      </c>
      <c r="F82" s="8" t="s">
        <v>31</v>
      </c>
      <c r="G82" s="8" t="s">
        <v>32</v>
      </c>
      <c r="H82" s="8" t="s">
        <v>20</v>
      </c>
      <c r="I82" s="8">
        <v>78000</v>
      </c>
      <c r="J82" s="8">
        <v>6</v>
      </c>
      <c r="K82" s="9">
        <v>43510</v>
      </c>
      <c r="L82" s="8">
        <v>4.8</v>
      </c>
      <c r="M82" s="10" t="s">
        <v>71</v>
      </c>
      <c r="N82" s="11">
        <v>9000001011</v>
      </c>
    </row>
    <row r="83" spans="1:14" ht="25.5" customHeight="1" x14ac:dyDescent="0.45">
      <c r="A83" s="7">
        <v>1082</v>
      </c>
      <c r="B83" s="8" t="s">
        <v>72</v>
      </c>
      <c r="C83" s="8" t="s">
        <v>73</v>
      </c>
      <c r="D83" s="8" t="s">
        <v>24</v>
      </c>
      <c r="E83" s="8" t="s">
        <v>17</v>
      </c>
      <c r="F83" s="8" t="s">
        <v>25</v>
      </c>
      <c r="G83" s="8" t="s">
        <v>74</v>
      </c>
      <c r="H83" s="8" t="s">
        <v>44</v>
      </c>
      <c r="I83" s="8">
        <v>51000</v>
      </c>
      <c r="J83" s="8">
        <v>2</v>
      </c>
      <c r="K83" s="9">
        <v>45086</v>
      </c>
      <c r="L83" s="8">
        <v>3.7</v>
      </c>
      <c r="M83" s="10" t="s">
        <v>75</v>
      </c>
      <c r="N83" s="11">
        <v>9000001012</v>
      </c>
    </row>
    <row r="84" spans="1:14" ht="25.5" customHeight="1" x14ac:dyDescent="0.45">
      <c r="A84" s="7">
        <v>1083</v>
      </c>
      <c r="B84" s="8" t="s">
        <v>76</v>
      </c>
      <c r="C84" s="8" t="s">
        <v>77</v>
      </c>
      <c r="D84" s="8" t="s">
        <v>16</v>
      </c>
      <c r="E84" s="8" t="s">
        <v>17</v>
      </c>
      <c r="F84" s="8" t="s">
        <v>18</v>
      </c>
      <c r="G84" s="8" t="s">
        <v>78</v>
      </c>
      <c r="H84" s="8" t="s">
        <v>33</v>
      </c>
      <c r="I84" s="8">
        <v>74000</v>
      </c>
      <c r="J84" s="8">
        <v>5</v>
      </c>
      <c r="K84" s="9">
        <v>44124</v>
      </c>
      <c r="L84" s="8">
        <v>4.5999999999999996</v>
      </c>
      <c r="M84" s="10" t="s">
        <v>79</v>
      </c>
      <c r="N84" s="11">
        <v>9000001013</v>
      </c>
    </row>
    <row r="85" spans="1:14" ht="25.5" customHeight="1" x14ac:dyDescent="0.45">
      <c r="A85" s="7">
        <v>1084</v>
      </c>
      <c r="B85" s="8" t="s">
        <v>80</v>
      </c>
      <c r="C85" s="8" t="s">
        <v>81</v>
      </c>
      <c r="D85" s="8" t="s">
        <v>24</v>
      </c>
      <c r="E85" s="8" t="s">
        <v>17</v>
      </c>
      <c r="F85" s="8" t="s">
        <v>58</v>
      </c>
      <c r="G85" s="8" t="s">
        <v>82</v>
      </c>
      <c r="H85" s="8" t="s">
        <v>27</v>
      </c>
      <c r="I85" s="8">
        <v>57000</v>
      </c>
      <c r="J85" s="8">
        <v>3</v>
      </c>
      <c r="K85" s="9">
        <v>44599</v>
      </c>
      <c r="L85" s="8">
        <v>4.0999999999999996</v>
      </c>
      <c r="M85" s="10" t="s">
        <v>83</v>
      </c>
      <c r="N85" s="11">
        <v>9000001014</v>
      </c>
    </row>
    <row r="86" spans="1:14" ht="25.5" customHeight="1" x14ac:dyDescent="0.45">
      <c r="A86" s="7">
        <v>1085</v>
      </c>
      <c r="B86" s="8" t="s">
        <v>84</v>
      </c>
      <c r="C86" s="8" t="s">
        <v>85</v>
      </c>
      <c r="D86" s="8" t="s">
        <v>16</v>
      </c>
      <c r="E86" s="8" t="s">
        <v>17</v>
      </c>
      <c r="F86" s="8" t="s">
        <v>18</v>
      </c>
      <c r="G86" s="8" t="s">
        <v>86</v>
      </c>
      <c r="H86" s="8" t="s">
        <v>55</v>
      </c>
      <c r="I86" s="8">
        <v>56000</v>
      </c>
      <c r="J86" s="8">
        <v>4</v>
      </c>
      <c r="K86" s="9">
        <v>44543</v>
      </c>
      <c r="L86" s="8">
        <v>3.5</v>
      </c>
      <c r="M86" s="10" t="s">
        <v>87</v>
      </c>
      <c r="N86" s="11">
        <v>9000001015</v>
      </c>
    </row>
    <row r="87" spans="1:14" ht="25.5" customHeight="1" x14ac:dyDescent="0.45">
      <c r="A87" s="7">
        <v>1086</v>
      </c>
      <c r="B87" s="8" t="s">
        <v>88</v>
      </c>
      <c r="C87" s="8" t="s">
        <v>89</v>
      </c>
      <c r="D87" s="8" t="s">
        <v>24</v>
      </c>
      <c r="E87" s="8" t="s">
        <v>17</v>
      </c>
      <c r="F87" s="8" t="s">
        <v>53</v>
      </c>
      <c r="G87" s="8" t="s">
        <v>90</v>
      </c>
      <c r="H87" s="8" t="s">
        <v>39</v>
      </c>
      <c r="I87" s="8">
        <v>62000</v>
      </c>
      <c r="J87" s="8">
        <v>3</v>
      </c>
      <c r="K87" s="9">
        <v>44737</v>
      </c>
      <c r="L87" s="8">
        <v>4.2</v>
      </c>
      <c r="M87" s="10" t="s">
        <v>91</v>
      </c>
      <c r="N87" s="11">
        <v>9000001016</v>
      </c>
    </row>
    <row r="88" spans="1:14" ht="25.5" customHeight="1" x14ac:dyDescent="0.45">
      <c r="A88" s="7">
        <v>1087</v>
      </c>
      <c r="B88" s="8" t="s">
        <v>92</v>
      </c>
      <c r="C88" s="8" t="s">
        <v>93</v>
      </c>
      <c r="D88" s="8" t="s">
        <v>16</v>
      </c>
      <c r="E88" s="8" t="s">
        <v>17</v>
      </c>
      <c r="F88" s="8" t="s">
        <v>94</v>
      </c>
      <c r="G88" s="8" t="s">
        <v>95</v>
      </c>
      <c r="H88" s="8" t="s">
        <v>20</v>
      </c>
      <c r="I88" s="8">
        <v>81000</v>
      </c>
      <c r="J88" s="8">
        <v>6</v>
      </c>
      <c r="K88" s="9">
        <v>43665</v>
      </c>
      <c r="L88" s="8">
        <v>4.9000000000000004</v>
      </c>
      <c r="M88" s="10" t="s">
        <v>96</v>
      </c>
      <c r="N88" s="11">
        <v>9000001017</v>
      </c>
    </row>
    <row r="89" spans="1:14" ht="25.5" customHeight="1" x14ac:dyDescent="0.45">
      <c r="A89" s="7">
        <v>1088</v>
      </c>
      <c r="B89" s="8" t="s">
        <v>97</v>
      </c>
      <c r="C89" s="8" t="s">
        <v>98</v>
      </c>
      <c r="D89" s="8" t="s">
        <v>24</v>
      </c>
      <c r="E89" s="8" t="s">
        <v>17</v>
      </c>
      <c r="F89" s="8" t="s">
        <v>99</v>
      </c>
      <c r="G89" s="8" t="s">
        <v>100</v>
      </c>
      <c r="H89" s="8" t="s">
        <v>33</v>
      </c>
      <c r="I89" s="8">
        <v>60000</v>
      </c>
      <c r="J89" s="8">
        <v>4</v>
      </c>
      <c r="K89" s="9">
        <v>44294</v>
      </c>
      <c r="L89" s="8">
        <v>4</v>
      </c>
      <c r="M89" s="10" t="s">
        <v>101</v>
      </c>
      <c r="N89" s="11">
        <v>9000001018</v>
      </c>
    </row>
    <row r="90" spans="1:14" ht="25.5" customHeight="1" x14ac:dyDescent="0.45">
      <c r="A90" s="7">
        <v>1089</v>
      </c>
      <c r="B90" s="8" t="s">
        <v>102</v>
      </c>
      <c r="C90" s="8" t="s">
        <v>36</v>
      </c>
      <c r="D90" s="8" t="s">
        <v>16</v>
      </c>
      <c r="E90" s="8" t="s">
        <v>17</v>
      </c>
      <c r="F90" s="8" t="s">
        <v>103</v>
      </c>
      <c r="G90" s="8" t="s">
        <v>104</v>
      </c>
      <c r="H90" s="8" t="s">
        <v>44</v>
      </c>
      <c r="I90" s="8">
        <v>53000</v>
      </c>
      <c r="J90" s="8">
        <v>2</v>
      </c>
      <c r="K90" s="9">
        <v>44973</v>
      </c>
      <c r="L90" s="8">
        <v>3.4</v>
      </c>
      <c r="M90" s="10" t="s">
        <v>105</v>
      </c>
      <c r="N90" s="11">
        <v>9000001019</v>
      </c>
    </row>
    <row r="91" spans="1:14" ht="25.5" customHeight="1" x14ac:dyDescent="0.45">
      <c r="A91" s="7">
        <v>1090</v>
      </c>
      <c r="B91" s="8" t="s">
        <v>106</v>
      </c>
      <c r="C91" s="8" t="s">
        <v>15</v>
      </c>
      <c r="D91" s="8" t="s">
        <v>24</v>
      </c>
      <c r="E91" s="8" t="s">
        <v>17</v>
      </c>
      <c r="F91" s="8" t="s">
        <v>48</v>
      </c>
      <c r="G91" s="8" t="s">
        <v>49</v>
      </c>
      <c r="H91" s="8" t="s">
        <v>20</v>
      </c>
      <c r="I91" s="8">
        <v>70000</v>
      </c>
      <c r="J91" s="8">
        <v>4</v>
      </c>
      <c r="K91" s="9">
        <v>44451</v>
      </c>
      <c r="L91" s="8">
        <v>4.5</v>
      </c>
      <c r="M91" s="10" t="s">
        <v>107</v>
      </c>
      <c r="N91" s="11">
        <v>9000001020</v>
      </c>
    </row>
    <row r="92" spans="1:14" ht="25.5" customHeight="1" x14ac:dyDescent="0.45">
      <c r="A92" s="7">
        <v>1091</v>
      </c>
      <c r="B92" s="8" t="s">
        <v>108</v>
      </c>
      <c r="C92" s="8" t="s">
        <v>42</v>
      </c>
      <c r="D92" s="8" t="s">
        <v>16</v>
      </c>
      <c r="E92" s="8" t="s">
        <v>17</v>
      </c>
      <c r="F92" s="8" t="s">
        <v>62</v>
      </c>
      <c r="G92" s="8" t="s">
        <v>109</v>
      </c>
      <c r="H92" s="8" t="s">
        <v>55</v>
      </c>
      <c r="I92" s="8">
        <v>50000</v>
      </c>
      <c r="J92" s="8">
        <v>2</v>
      </c>
      <c r="K92" s="9">
        <v>45050</v>
      </c>
      <c r="L92" s="8">
        <v>3.8</v>
      </c>
      <c r="M92" s="10" t="s">
        <v>110</v>
      </c>
      <c r="N92" s="11">
        <v>9000001021</v>
      </c>
    </row>
    <row r="93" spans="1:14" ht="25.5" customHeight="1" x14ac:dyDescent="0.45">
      <c r="A93" s="7">
        <v>1092</v>
      </c>
      <c r="B93" s="8" t="s">
        <v>111</v>
      </c>
      <c r="C93" s="8" t="s">
        <v>23</v>
      </c>
      <c r="D93" s="8" t="s">
        <v>24</v>
      </c>
      <c r="E93" s="8" t="s">
        <v>17</v>
      </c>
      <c r="F93" s="8" t="s">
        <v>18</v>
      </c>
      <c r="G93" s="8" t="s">
        <v>112</v>
      </c>
      <c r="H93" s="8" t="s">
        <v>27</v>
      </c>
      <c r="I93" s="8">
        <v>59000</v>
      </c>
      <c r="J93" s="8">
        <v>3</v>
      </c>
      <c r="K93" s="9">
        <v>44880</v>
      </c>
      <c r="L93" s="8">
        <v>4.3</v>
      </c>
      <c r="M93" s="10" t="s">
        <v>113</v>
      </c>
      <c r="N93" s="11">
        <v>9000001022</v>
      </c>
    </row>
    <row r="94" spans="1:14" ht="25.5" customHeight="1" x14ac:dyDescent="0.45">
      <c r="A94" s="7">
        <v>1093</v>
      </c>
      <c r="B94" s="8" t="s">
        <v>114</v>
      </c>
      <c r="C94" s="8" t="s">
        <v>115</v>
      </c>
      <c r="D94" s="8" t="s">
        <v>16</v>
      </c>
      <c r="E94" s="8" t="s">
        <v>17</v>
      </c>
      <c r="F94" s="8" t="s">
        <v>66</v>
      </c>
      <c r="G94" s="8" t="s">
        <v>116</v>
      </c>
      <c r="H94" s="8" t="s">
        <v>33</v>
      </c>
      <c r="I94" s="8">
        <v>67000</v>
      </c>
      <c r="J94" s="8">
        <v>5</v>
      </c>
      <c r="K94" s="9">
        <v>44061</v>
      </c>
      <c r="L94" s="8">
        <v>4.4000000000000004</v>
      </c>
      <c r="M94" s="10" t="s">
        <v>117</v>
      </c>
      <c r="N94" s="11">
        <v>9000001023</v>
      </c>
    </row>
    <row r="95" spans="1:14" ht="25.5" customHeight="1" x14ac:dyDescent="0.45">
      <c r="A95" s="7">
        <v>1094</v>
      </c>
      <c r="B95" s="8" t="s">
        <v>118</v>
      </c>
      <c r="C95" s="8" t="s">
        <v>119</v>
      </c>
      <c r="D95" s="8" t="s">
        <v>24</v>
      </c>
      <c r="E95" s="8" t="s">
        <v>17</v>
      </c>
      <c r="F95" s="8" t="s">
        <v>103</v>
      </c>
      <c r="G95" s="8" t="s">
        <v>120</v>
      </c>
      <c r="H95" s="8" t="s">
        <v>39</v>
      </c>
      <c r="I95" s="8">
        <v>64000</v>
      </c>
      <c r="J95" s="8">
        <v>4</v>
      </c>
      <c r="K95" s="9">
        <v>44474</v>
      </c>
      <c r="L95" s="8">
        <v>4.5999999999999996</v>
      </c>
      <c r="M95" s="10" t="s">
        <v>121</v>
      </c>
      <c r="N95" s="11">
        <v>9000001024</v>
      </c>
    </row>
    <row r="96" spans="1:14" ht="25.5" customHeight="1" x14ac:dyDescent="0.45">
      <c r="A96" s="7">
        <v>1095</v>
      </c>
      <c r="B96" s="8" t="s">
        <v>122</v>
      </c>
      <c r="C96" s="8" t="s">
        <v>47</v>
      </c>
      <c r="D96" s="8" t="s">
        <v>16</v>
      </c>
      <c r="E96" s="8" t="s">
        <v>17</v>
      </c>
      <c r="F96" s="8" t="s">
        <v>18</v>
      </c>
      <c r="G96" s="8" t="s">
        <v>123</v>
      </c>
      <c r="H96" s="8" t="s">
        <v>44</v>
      </c>
      <c r="I96" s="8">
        <v>54000</v>
      </c>
      <c r="J96" s="8">
        <v>3</v>
      </c>
      <c r="K96" s="9">
        <v>44641</v>
      </c>
      <c r="L96" s="8">
        <v>3.9</v>
      </c>
      <c r="M96" s="10" t="s">
        <v>124</v>
      </c>
      <c r="N96" s="11">
        <v>9000001025</v>
      </c>
    </row>
    <row r="97" spans="1:14" ht="25.5" customHeight="1" x14ac:dyDescent="0.45">
      <c r="A97" s="7">
        <v>1096</v>
      </c>
      <c r="B97" s="8" t="s">
        <v>125</v>
      </c>
      <c r="C97" s="8" t="s">
        <v>126</v>
      </c>
      <c r="D97" s="8" t="s">
        <v>24</v>
      </c>
      <c r="E97" s="8" t="s">
        <v>17</v>
      </c>
      <c r="F97" s="8" t="s">
        <v>127</v>
      </c>
      <c r="G97" s="8" t="s">
        <v>128</v>
      </c>
      <c r="H97" s="8" t="s">
        <v>20</v>
      </c>
      <c r="I97" s="8">
        <v>76000</v>
      </c>
      <c r="J97" s="8">
        <v>5</v>
      </c>
      <c r="K97" s="9">
        <v>43963</v>
      </c>
      <c r="L97" s="8">
        <v>4.7</v>
      </c>
      <c r="M97" s="10" t="s">
        <v>129</v>
      </c>
      <c r="N97" s="11">
        <v>9000001026</v>
      </c>
    </row>
    <row r="98" spans="1:14" ht="25.5" customHeight="1" x14ac:dyDescent="0.45">
      <c r="A98" s="7">
        <v>1097</v>
      </c>
      <c r="B98" s="8" t="s">
        <v>130</v>
      </c>
      <c r="C98" s="8" t="s">
        <v>131</v>
      </c>
      <c r="D98" s="8" t="s">
        <v>16</v>
      </c>
      <c r="E98" s="8" t="s">
        <v>17</v>
      </c>
      <c r="F98" s="8" t="s">
        <v>132</v>
      </c>
      <c r="G98" s="8" t="s">
        <v>133</v>
      </c>
      <c r="H98" s="8" t="s">
        <v>55</v>
      </c>
      <c r="I98" s="8">
        <v>58000</v>
      </c>
      <c r="J98" s="8">
        <v>4</v>
      </c>
      <c r="K98" s="9">
        <v>44404</v>
      </c>
      <c r="L98" s="8">
        <v>3.7</v>
      </c>
      <c r="M98" s="10" t="s">
        <v>134</v>
      </c>
      <c r="N98" s="11">
        <v>9000001027</v>
      </c>
    </row>
    <row r="99" spans="1:14" ht="25.5" customHeight="1" x14ac:dyDescent="0.45">
      <c r="A99" s="7">
        <v>1098</v>
      </c>
      <c r="B99" s="8" t="s">
        <v>135</v>
      </c>
      <c r="C99" s="8" t="s">
        <v>136</v>
      </c>
      <c r="D99" s="8" t="s">
        <v>24</v>
      </c>
      <c r="E99" s="8" t="s">
        <v>17</v>
      </c>
      <c r="F99" s="8" t="s">
        <v>62</v>
      </c>
      <c r="G99" s="8" t="s">
        <v>63</v>
      </c>
      <c r="H99" s="8" t="s">
        <v>33</v>
      </c>
      <c r="I99" s="8">
        <v>61000</v>
      </c>
      <c r="J99" s="8">
        <v>3</v>
      </c>
      <c r="K99" s="9">
        <v>44578</v>
      </c>
      <c r="L99" s="8">
        <v>4.0999999999999996</v>
      </c>
      <c r="M99" s="10" t="s">
        <v>137</v>
      </c>
      <c r="N99" s="11">
        <v>9000001028</v>
      </c>
    </row>
    <row r="100" spans="1:14" ht="25.5" customHeight="1" x14ac:dyDescent="0.45">
      <c r="A100" s="7">
        <v>1099</v>
      </c>
      <c r="B100" s="8" t="s">
        <v>138</v>
      </c>
      <c r="C100" s="8" t="s">
        <v>139</v>
      </c>
      <c r="D100" s="8" t="s">
        <v>16</v>
      </c>
      <c r="E100" s="8" t="s">
        <v>17</v>
      </c>
      <c r="F100" s="8" t="s">
        <v>48</v>
      </c>
      <c r="G100" s="8" t="s">
        <v>140</v>
      </c>
      <c r="H100" s="8" t="s">
        <v>44</v>
      </c>
      <c r="I100" s="8">
        <v>55000</v>
      </c>
      <c r="J100" s="8">
        <v>2</v>
      </c>
      <c r="K100" s="9">
        <v>45022</v>
      </c>
      <c r="L100" s="8">
        <v>3.6</v>
      </c>
      <c r="M100" s="10" t="s">
        <v>141</v>
      </c>
      <c r="N100" s="11">
        <v>9000001029</v>
      </c>
    </row>
    <row r="101" spans="1:14" ht="25.5" customHeight="1" x14ac:dyDescent="0.45">
      <c r="A101" s="12">
        <v>1100</v>
      </c>
      <c r="B101" s="13" t="s">
        <v>142</v>
      </c>
      <c r="C101" s="13" t="s">
        <v>143</v>
      </c>
      <c r="D101" s="13" t="s">
        <v>24</v>
      </c>
      <c r="E101" s="13" t="s">
        <v>17</v>
      </c>
      <c r="F101" s="13" t="s">
        <v>31</v>
      </c>
      <c r="G101" s="13" t="s">
        <v>32</v>
      </c>
      <c r="H101" s="13" t="s">
        <v>27</v>
      </c>
      <c r="I101" s="13">
        <v>63000</v>
      </c>
      <c r="J101" s="13">
        <v>4</v>
      </c>
      <c r="K101" s="14">
        <v>44251</v>
      </c>
      <c r="L101" s="13">
        <v>4.5</v>
      </c>
      <c r="M101" s="15" t="s">
        <v>144</v>
      </c>
      <c r="N101" s="16">
        <v>9000001030</v>
      </c>
    </row>
  </sheetData>
  <mergeCells count="4">
    <mergeCell ref="Q2:R2"/>
    <mergeCell ref="Q8:R8"/>
    <mergeCell ref="Q14:R14"/>
    <mergeCell ref="Q20:R20"/>
  </mergeCells>
  <hyperlinks>
    <hyperlink ref="M2" r:id="rId1" display="mailto:aakash.sharma@example.com" xr:uid="{E6AFDAA2-394E-461D-B391-F16788BA405A}"/>
    <hyperlink ref="M3" r:id="rId2" display="mailto:priya.singh@example.com" xr:uid="{6747DD10-BB4B-455B-BA02-0542563F37BC}"/>
    <hyperlink ref="M4" r:id="rId3" display="mailto:rahul.verma@example.com" xr:uid="{FCBF76CB-4475-4C39-9293-6C4B50645729}"/>
    <hyperlink ref="M5" r:id="rId4" display="mailto:neha.gupta@example.com" xr:uid="{85F43F66-25BA-456F-8AA1-51C7F680076A}"/>
    <hyperlink ref="M6" r:id="rId5" display="mailto:amit.kumar@example.com" xr:uid="{ACF39360-483B-4B62-8DCB-E9FC0F4A3AA2}"/>
    <hyperlink ref="M7" r:id="rId6" display="mailto:sneha.yadav@example.com" xr:uid="{72843CB7-6349-45D3-9150-96C33ED0E7CF}"/>
    <hyperlink ref="M8" r:id="rId7" display="mailto:rohit.mehta@example.com" xr:uid="{C932B50B-1A82-4D05-A8C7-4A2285A1A2F0}"/>
    <hyperlink ref="M9" r:id="rId8" display="mailto:anjali.sharma@example.com" xr:uid="{9C966441-2CF0-4CFA-AA3A-C112E6B34423}"/>
    <hyperlink ref="M10" r:id="rId9" display="mailto:vikash.singh@example.com" xr:uid="{8957376F-AF1D-48E9-848B-3B21D0FE36BE}"/>
    <hyperlink ref="M11" r:id="rId10" display="mailto:pooja.verma@example.com" xr:uid="{40AD022F-B4AF-45FB-9843-633C36E823AD}"/>
    <hyperlink ref="M12" r:id="rId11" display="mailto:karan.malhotra@example.com" xr:uid="{7B94AD06-429B-4D15-A779-9E880EEA1F01}"/>
    <hyperlink ref="M13" r:id="rId12" display="mailto:riya.kapoor@example.com" xr:uid="{599EB478-503E-4258-B411-84C91B031899}"/>
    <hyperlink ref="M14" r:id="rId13" display="mailto:mohit.agarwal@example.com" xr:uid="{65A8F21A-E371-4D43-B360-B5754852EB63}"/>
    <hyperlink ref="M15" r:id="rId14" display="mailto:simran.kaur@example.com" xr:uid="{A429674F-6D55-4D6C-847C-18F830837C95}"/>
    <hyperlink ref="M16" r:id="rId15" display="mailto:deepak.mishra@example.com" xr:uid="{A7209F67-BE9F-4450-AD96-4FCEAEBA4F4A}"/>
    <hyperlink ref="M17" r:id="rId16" display="mailto:nisha.patel@example.com" xr:uid="{E86AF3F3-31E4-456D-8043-83118405D754}"/>
    <hyperlink ref="M18" r:id="rId17" display="mailto:arjun.reddy@example.com" xr:uid="{FA5E8D7A-4D73-48B9-92F0-A8836D51187C}"/>
    <hyperlink ref="M19" r:id="rId18" display="mailto:kavita.joshi@example.com" xr:uid="{F7153DBC-19CF-4C8C-9AF1-2DE924E43E26}"/>
    <hyperlink ref="M20" r:id="rId19" display="mailto:saurabh.gupta@example.com" xr:uid="{D18ABDA5-BBFB-45B6-AD9B-C8CF16637F02}"/>
    <hyperlink ref="M21" r:id="rId20" display="mailto:tanya.sharma@example.com" xr:uid="{20E4A980-AFDB-47C6-A9E2-ACFBDD9EC085}"/>
    <hyperlink ref="M22" r:id="rId21" display="mailto:manish.kumar@example.com" xr:uid="{301BB820-DA9E-4EEB-B81B-FD84E1B900D4}"/>
    <hyperlink ref="M23" r:id="rId22" display="mailto:divya.singh@example.com" xr:uid="{326F9205-EBE8-47B2-82BF-46B5F5B2D5C2}"/>
    <hyperlink ref="M24" r:id="rId23" display="mailto:varun.bansal@example.com" xr:uid="{0F52CD74-37BF-4D0D-B4EA-B03BC293EDB0}"/>
    <hyperlink ref="M25" r:id="rId24" display="mailto:shweta.jain@example.com" xr:uid="{6474DC70-7417-41B0-82BE-90B8B52329D8}"/>
    <hyperlink ref="M26" r:id="rId25" display="mailto:raj.yadav@example.com" xr:uid="{38B69E29-23C8-454E-8BF4-61279504CD02}"/>
    <hyperlink ref="M27" r:id="rId26" display="mailto:meera.nair@example.com" xr:uid="{6EAADDE4-582A-45A9-A23F-28CD9F989AC7}"/>
    <hyperlink ref="M28" r:id="rId27" display="mailto:ajay.thakur@example.com" xr:uid="{45AA6FC0-C9C4-48FC-8B12-19DEBEF9979B}"/>
    <hyperlink ref="M29" r:id="rId28" display="mailto:priti.sinha@example.com" xr:uid="{34B0D3A2-63EA-431F-8DEC-4B0E7965A023}"/>
    <hyperlink ref="M30" r:id="rId29" display="mailto:nitin.choudhary@example.com" xr:uid="{A5FCAE45-118F-4DB5-9034-113087DA1461}"/>
    <hyperlink ref="M31" r:id="rId30" display="mailto:aarti.mehra@example.com" xr:uid="{577D8B50-922E-4CC9-B302-D47419386675}"/>
    <hyperlink ref="M32" r:id="rId31" display="mailto:sumit.saxena@example.com" xr:uid="{65A8757C-9E4A-493B-AC02-0F1C030EA9CE}"/>
    <hyperlink ref="M33" r:id="rId32" display="mailto:isha.kapoor@example.com" xr:uid="{2DE6BAD8-2BFC-406A-B6BD-14A5C393FCFA}"/>
    <hyperlink ref="M34" r:id="rId33" display="mailto:rakesh.pandey@example.com" xr:uid="{4BCB3D4E-D21E-4BBB-8486-500DA098F878}"/>
    <hyperlink ref="M35" r:id="rId34" display="mailto:komal.sharma@example.com" xr:uid="{E55EBD64-FBC1-4F47-A0E0-DBEA09264972}"/>
    <hyperlink ref="M36" r:id="rId35" display="mailto:gaurav.singh@example.com" xr:uid="{C653CB5E-1E56-4EB6-AE30-6BF354694934}"/>
    <hyperlink ref="M37" r:id="rId36" display="mailto:muskan.verma@example.com" xr:uid="{75C0B572-9B92-443A-9835-22E49F173295}"/>
    <hyperlink ref="M38" r:id="rId37" display="mailto:abhishek.tiwari@example.com" xr:uid="{52D0C603-ED3B-4724-906D-D91D4BD77568}"/>
    <hyperlink ref="M39" r:id="rId38" display="mailto:sakshi.gupta@example.com" xr:uid="{E8F3E459-C431-4EEB-8EA3-65C48FD3845B}"/>
    <hyperlink ref="M40" r:id="rId39" display="mailto:yash.agarwal@example.com" xr:uid="{39D2AA51-EF5E-40AF-88FE-7E274186ECE4}"/>
    <hyperlink ref="M41" r:id="rId40" display="mailto:preeti.yadav@example.com" xr:uid="{92F1035D-1C1D-4320-A29D-0167A491C4EF}"/>
    <hyperlink ref="M42" r:id="rId41" display="mailto:harsh.vardhan@example.com" xr:uid="{13341845-7137-46B6-ABC5-A0C70FAEEC73}"/>
    <hyperlink ref="M43" r:id="rId42" display="mailto:renu.sharma@example.com" xr:uid="{A167E59F-FC59-4EB8-B9DE-A9DC23AB90E4}"/>
    <hyperlink ref="M44" r:id="rId43" display="mailto:ankit.mishra@example.com" xr:uid="{35AC572D-B566-4788-A203-A6B63D727F43}"/>
    <hyperlink ref="M45" r:id="rId44" display="mailto:sonam.gupta@example.com" xr:uid="{CC03AE31-844D-4A27-B220-68762DE22327}"/>
    <hyperlink ref="M46" r:id="rId45" display="mailto:tarun.kumar@example.com" xr:uid="{99F6A3BC-1BCA-4ED5-882E-4F0495C149D2}"/>
    <hyperlink ref="M47" r:id="rId46" display="mailto:payal.singh@example.com" xr:uid="{7D95A53A-7B2A-48FD-99FF-3548B3C95CE1}"/>
    <hyperlink ref="M48" r:id="rId47" display="mailto:naveen.joshi@example.com" xr:uid="{6FEDA0B8-095F-492D-88FE-664223461DE9}"/>
    <hyperlink ref="M49" r:id="rId48" display="mailto:shalini.patel@example.com" xr:uid="{37739279-817F-4D77-98A9-AC5BACA1B1C1}"/>
    <hyperlink ref="M50" r:id="rId49" display="mailto:dev.sharma@example.com" xr:uid="{731E1842-A3E0-4BCF-8F36-6E35072FEBB1}"/>
    <hyperlink ref="M51" r:id="rId50" display="mailto:ritu.singh@example.com" xr:uid="{45B82F4B-84D2-408A-981C-804BFEDE40C3}"/>
    <hyperlink ref="M52" r:id="rId51" display="mailto:varsha.gupta@example.com" xr:uid="{9301423D-DF06-43E6-87DB-990628A34B6D}"/>
    <hyperlink ref="M53" r:id="rId52" display="mailto:pankaj.verma@example.com" xr:uid="{3C27C029-F724-4340-996A-F53E9F038919}"/>
    <hyperlink ref="M54" r:id="rId53" display="mailto:alok.singh@example.com" xr:uid="{93C4DF9D-3FB0-4C99-A572-D079B304CE49}"/>
    <hyperlink ref="M55" r:id="rId54" display="mailto:monika.jain@example.com" xr:uid="{85B5CE37-6B08-478B-8875-FAE895C50B07}"/>
    <hyperlink ref="M56" r:id="rId55" display="mailto:sameer.khan@example.com" xr:uid="{0E250A1F-60D6-4B05-A4E6-12F31734B727}"/>
    <hyperlink ref="M57" r:id="rId56" display="mailto:rachna.tiwari@example.com" xr:uid="{5244ECFC-4DAD-4477-BE60-0E62E222FA9D}"/>
    <hyperlink ref="M58" r:id="rId57" display="mailto:vikas.yadav@example.com" xr:uid="{9552C1D9-8A40-4693-9982-D7D941B835A9}"/>
    <hyperlink ref="M59" r:id="rId58" display="mailto:nandini.rao@example.com" xr:uid="{3436B95E-CB4E-481D-92AA-451B031D55CC}"/>
    <hyperlink ref="M60" r:id="rId59" display="mailto:sandeep.kumar@example.com" xr:uid="{2544713C-9A35-48F0-AC9C-63A4FA2A5871}"/>
    <hyperlink ref="M61" r:id="rId60" display="mailto:bhavna.sharma@example.com" xr:uid="{A8AA2732-F554-4DFD-B065-C68234860D25}"/>
    <hyperlink ref="M62" r:id="rId61" display="mailto:rohan.mehta@example.com" xr:uid="{CB49BB3D-B1D9-4490-BAAB-273ACF8CB9B4}"/>
    <hyperlink ref="M63" r:id="rId62" display="mailto:tina.verma@example.com" xr:uid="{244CD6D0-306A-4398-A3ED-D56BB15F6220}"/>
    <hyperlink ref="M64" r:id="rId63" display="mailto:manav.gupta@example.com" xr:uid="{A65CCD1D-21AA-4321-9A1E-D5661EABBDBA}"/>
    <hyperlink ref="M65" r:id="rId64" display="mailto:juhi.singh@example.com" xr:uid="{633B5595-9A5F-45E2-A233-134FA0EF49E4}"/>
    <hyperlink ref="M66" r:id="rId65" display="mailto:anurag.mishra@example.com" xr:uid="{5039E3AA-9A53-4873-B565-60C44C408F61}"/>
    <hyperlink ref="M67" r:id="rId66" display="mailto:pallavi.joshi@example.com" xr:uid="{4730E783-3F2C-4748-A298-D052775FBD4C}"/>
    <hyperlink ref="M68" r:id="rId67" display="mailto:chirag.patel@example.com" xr:uid="{737A483F-A93F-4221-865C-133542F4D6DA}"/>
    <hyperlink ref="M69" r:id="rId68" display="mailto:sonia.kapoor@example.com" xr:uid="{62165174-4DA3-4F5A-B179-142D1C1D3691}"/>
    <hyperlink ref="M70" r:id="rId69" display="mailto:akash.reddy@example.com" xr:uid="{B93644AC-C25A-43F9-8B1C-9ADE0AB7F8A0}"/>
    <hyperlink ref="M71" r:id="rId70" display="mailto:garima.sinha@example.com" xr:uid="{26DA5D12-FA35-40ED-85AD-02C3CDD91DE3}"/>
    <hyperlink ref="M72" r:id="rId71" display="mailto:aakash.sharma@example.com" xr:uid="{4CAB667F-DDA7-4B2E-A35E-3453415CB2EF}"/>
    <hyperlink ref="M73" r:id="rId72" display="mailto:priya.singh@example.com" xr:uid="{1E62CF34-1534-4CE1-956E-40A978577433}"/>
    <hyperlink ref="M74" r:id="rId73" display="mailto:rahul.verma@example.com" xr:uid="{5375D364-4FA7-47CA-88F4-AA0FE267F623}"/>
    <hyperlink ref="M75" r:id="rId74" display="mailto:neha.gupta@example.com" xr:uid="{279909FB-7F66-4D0D-A4DF-36E7798F0D93}"/>
    <hyperlink ref="M76" r:id="rId75" display="mailto:amit.kumar@example.com" xr:uid="{97824327-2EA9-4CF7-B226-30C90EDD37AF}"/>
    <hyperlink ref="M77" r:id="rId76" display="mailto:sneha.yadav@example.com" xr:uid="{212E22C1-47F5-4841-B215-DA589FBC0EA7}"/>
    <hyperlink ref="M78" r:id="rId77" display="mailto:rohit.mehta@example.com" xr:uid="{4BACB0B8-989C-4244-BE6F-159ACE837FFE}"/>
    <hyperlink ref="M79" r:id="rId78" display="mailto:anjali.sharma@example.com" xr:uid="{F4C889E1-6AA9-4DE2-BD84-0CAB95BFABFB}"/>
    <hyperlink ref="M80" r:id="rId79" display="mailto:vikash.singh@example.com" xr:uid="{B21C6F3F-6F7D-4CD6-BEAE-7E1A58206ED1}"/>
    <hyperlink ref="M81" r:id="rId80" display="mailto:pooja.verma@example.com" xr:uid="{33BF1533-9EF5-45C9-A277-40CD27AA98FF}"/>
    <hyperlink ref="M82" r:id="rId81" display="mailto:karan.malhotra@example.com" xr:uid="{3B17C9FD-18F0-4274-988A-68445AD4B778}"/>
    <hyperlink ref="M83" r:id="rId82" display="mailto:riya.kapoor@example.com" xr:uid="{EF297C20-5685-4814-905D-D536FC85A8DD}"/>
    <hyperlink ref="M84" r:id="rId83" display="mailto:mohit.agarwal@example.com" xr:uid="{46A7F13D-2DAE-46A0-875F-773AF62A1A16}"/>
    <hyperlink ref="M85" r:id="rId84" display="mailto:simran.kaur@example.com" xr:uid="{C5CF451C-D85B-496B-9A85-2D8457ACE1A4}"/>
    <hyperlink ref="M86" r:id="rId85" display="mailto:deepak.mishra@example.com" xr:uid="{1EACB4BB-A1E9-40A6-8943-51134ED57361}"/>
    <hyperlink ref="M87" r:id="rId86" display="mailto:nisha.patel@example.com" xr:uid="{B5D3CAD1-FFE0-417F-9380-3F1B9DF49A5C}"/>
    <hyperlink ref="M88" r:id="rId87" display="mailto:arjun.reddy@example.com" xr:uid="{0A81F61B-3BBE-46EA-904B-D9F46E0D0245}"/>
    <hyperlink ref="M89" r:id="rId88" display="mailto:kavita.joshi@example.com" xr:uid="{BD09EFDC-4685-4B80-9BFB-ACE06229232A}"/>
    <hyperlink ref="M90" r:id="rId89" display="mailto:saurabh.gupta@example.com" xr:uid="{F1674598-D894-4F0C-9242-899A36103900}"/>
    <hyperlink ref="M91" r:id="rId90" display="mailto:tanya.sharma@example.com" xr:uid="{DD5B9F7E-148A-4BDD-8CAC-53BFB7BFC52F}"/>
    <hyperlink ref="M92" r:id="rId91" display="mailto:manish.kumar@example.com" xr:uid="{310338E5-0222-4BF8-BA41-F14B6C58D281}"/>
    <hyperlink ref="M93" r:id="rId92" display="mailto:divya.singh@example.com" xr:uid="{401CCBBB-0A72-4A7E-8A6E-D85E4FC6C01A}"/>
    <hyperlink ref="M94" r:id="rId93" display="mailto:varun.bansal@example.com" xr:uid="{05ACECD8-1E5E-477B-8E73-DB873B44E614}"/>
    <hyperlink ref="M95" r:id="rId94" display="mailto:shweta.jain@example.com" xr:uid="{721FD4F1-9CB3-4161-8873-752BF7962BA1}"/>
    <hyperlink ref="M96" r:id="rId95" display="mailto:raj.yadav@example.com" xr:uid="{59A43A7F-49DD-476C-9CD1-A86E42CE2AD6}"/>
    <hyperlink ref="M97" r:id="rId96" display="mailto:meera.nair@example.com" xr:uid="{B327D692-CDD0-4149-8451-1573161DCE86}"/>
    <hyperlink ref="M98" r:id="rId97" display="mailto:ajay.thakur@example.com" xr:uid="{209A45CE-167A-4292-8E8B-713E7CC004E6}"/>
    <hyperlink ref="M99" r:id="rId98" display="mailto:priti.sinha@example.com" xr:uid="{A9293A5A-2AD7-403D-952C-DAA8AFED30BE}"/>
    <hyperlink ref="M100" r:id="rId99" display="mailto:nitin.choudhary@example.com" xr:uid="{769D5168-7EE9-45A4-9760-0183F6164DE3}"/>
    <hyperlink ref="M101" r:id="rId100" display="mailto:aarti.mehra@example.com" xr:uid="{87EA823A-860C-40F8-A296-19437A57BDF3}"/>
  </hyperlinks>
  <pageMargins left="0.7" right="0.7" top="0.75" bottom="0.75" header="0.3" footer="0.3"/>
  <tableParts count="1">
    <tablePart r:id="rId1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2026-09-25T17:30:35Z</dcterms:modified>
</cp:coreProperties>
</file>