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D8C6B05F-323A-4548-A70F-AAB9050E5C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</calcChain>
</file>

<file path=xl/sharedStrings.xml><?xml version="1.0" encoding="utf-8"?>
<sst xmlns="http://schemas.openxmlformats.org/spreadsheetml/2006/main" count="632" uniqueCount="190">
  <si>
    <t>Order_ID</t>
  </si>
  <si>
    <t>Order_Date</t>
  </si>
  <si>
    <t>Customer_ID</t>
  </si>
  <si>
    <t>Customer_Name</t>
  </si>
  <si>
    <t>Product_ID</t>
  </si>
  <si>
    <t>Product</t>
  </si>
  <si>
    <t>Category</t>
  </si>
  <si>
    <t>Country</t>
  </si>
  <si>
    <t>State</t>
  </si>
  <si>
    <t>City</t>
  </si>
  <si>
    <t>Quantity</t>
  </si>
  <si>
    <t>Unit_Price</t>
  </si>
  <si>
    <t>Discount</t>
  </si>
  <si>
    <t>Sales</t>
  </si>
  <si>
    <t>Cost</t>
  </si>
  <si>
    <t>Customer_Rating</t>
  </si>
  <si>
    <t>Payment_Method</t>
  </si>
  <si>
    <t>Sales_Channel</t>
  </si>
  <si>
    <t>Order_Status</t>
  </si>
  <si>
    <t>ORD10001</t>
  </si>
  <si>
    <t>C001</t>
  </si>
  <si>
    <t>Aarav Sharma</t>
  </si>
  <si>
    <t>P001</t>
  </si>
  <si>
    <t>Laptop</t>
  </si>
  <si>
    <t>Electronics</t>
  </si>
  <si>
    <t>India</t>
  </si>
  <si>
    <t>Uttar Pradesh</t>
  </si>
  <si>
    <t>Lucknow</t>
  </si>
  <si>
    <t>UPI</t>
  </si>
  <si>
    <t>Website</t>
  </si>
  <si>
    <t>Delivered</t>
  </si>
  <si>
    <t>ORD10002</t>
  </si>
  <si>
    <t>C002</t>
  </si>
  <si>
    <t>Priya Singh</t>
  </si>
  <si>
    <t>P002</t>
  </si>
  <si>
    <t>Smartphone</t>
  </si>
  <si>
    <t>Maharashtra</t>
  </si>
  <si>
    <t>Mumbai</t>
  </si>
  <si>
    <t>Credit Card</t>
  </si>
  <si>
    <t>Mobile App</t>
  </si>
  <si>
    <t>ORD10003</t>
  </si>
  <si>
    <t>C003</t>
  </si>
  <si>
    <t>Rahul Verma</t>
  </si>
  <si>
    <t>P011</t>
  </si>
  <si>
    <t>T-Shirt</t>
  </si>
  <si>
    <t>Fashion</t>
  </si>
  <si>
    <t>Delhi</t>
  </si>
  <si>
    <t>New Delhi</t>
  </si>
  <si>
    <t>ORD10004</t>
  </si>
  <si>
    <t>C004</t>
  </si>
  <si>
    <t>Neha Gupta</t>
  </si>
  <si>
    <t>P006</t>
  </si>
  <si>
    <t>Office Chair</t>
  </si>
  <si>
    <t>Furniture</t>
  </si>
  <si>
    <t>Karnataka</t>
  </si>
  <si>
    <t>Bengaluru</t>
  </si>
  <si>
    <t>Debit Card</t>
  </si>
  <si>
    <t>Store</t>
  </si>
  <si>
    <t>ORD10005</t>
  </si>
  <si>
    <t>C005</t>
  </si>
  <si>
    <t>Rohan Kumar</t>
  </si>
  <si>
    <t>P014</t>
  </si>
  <si>
    <t>Coffee Maker</t>
  </si>
  <si>
    <t>Appliances</t>
  </si>
  <si>
    <t>Telangana</t>
  </si>
  <si>
    <t>Hyderabad</t>
  </si>
  <si>
    <t>Cash</t>
  </si>
  <si>
    <t>ORD10006</t>
  </si>
  <si>
    <t>C006</t>
  </si>
  <si>
    <t>Ananya Patel</t>
  </si>
  <si>
    <t>P009</t>
  </si>
  <si>
    <t>Backpack</t>
  </si>
  <si>
    <t>Accessories</t>
  </si>
  <si>
    <t>Gujarat</t>
  </si>
  <si>
    <t>Ahmedabad</t>
  </si>
  <si>
    <t>Marketplace</t>
  </si>
  <si>
    <t>Shipped</t>
  </si>
  <si>
    <t>ORD10007</t>
  </si>
  <si>
    <t>C007</t>
  </si>
  <si>
    <t>Vikas Mishra</t>
  </si>
  <si>
    <t>P010</t>
  </si>
  <si>
    <t>Shoes</t>
  </si>
  <si>
    <t>Rajasthan</t>
  </si>
  <si>
    <t>Jaipur</t>
  </si>
  <si>
    <t>ORD10008</t>
  </si>
  <si>
    <t>C008</t>
  </si>
  <si>
    <t>Sneha Yadav</t>
  </si>
  <si>
    <t>P017</t>
  </si>
  <si>
    <t>Water Bottle</t>
  </si>
  <si>
    <t>Home</t>
  </si>
  <si>
    <t>West Bengal</t>
  </si>
  <si>
    <t>Kolkata</t>
  </si>
  <si>
    <t>ORD10009</t>
  </si>
  <si>
    <t>C009</t>
  </si>
  <si>
    <t>Karan Shah</t>
  </si>
  <si>
    <t>P007</t>
  </si>
  <si>
    <t>Desk</t>
  </si>
  <si>
    <t>Pune</t>
  </si>
  <si>
    <t>Net Banking</t>
  </si>
  <si>
    <t>ORD10010</t>
  </si>
  <si>
    <t>C010</t>
  </si>
  <si>
    <t>Pooja Mehta</t>
  </si>
  <si>
    <t>P004</t>
  </si>
  <si>
    <t>Smartwatch</t>
  </si>
  <si>
    <t>Tamil Nadu</t>
  </si>
  <si>
    <t>Chennai</t>
  </si>
  <si>
    <t>ORD10011</t>
  </si>
  <si>
    <t>C011</t>
  </si>
  <si>
    <t>Amit Joshi</t>
  </si>
  <si>
    <t>P003</t>
  </si>
  <si>
    <t>Headphones</t>
  </si>
  <si>
    <t>Kanpur</t>
  </si>
  <si>
    <t>ORD10012</t>
  </si>
  <si>
    <t>C012</t>
  </si>
  <si>
    <t>Riya Agarwal</t>
  </si>
  <si>
    <t>P012</t>
  </si>
  <si>
    <t>Jeans</t>
  </si>
  <si>
    <t>Varanasi</t>
  </si>
  <si>
    <t>ORD10013</t>
  </si>
  <si>
    <t>C013</t>
  </si>
  <si>
    <t>Sahil Tiwari</t>
  </si>
  <si>
    <t>P015</t>
  </si>
  <si>
    <t>Air Fryer</t>
  </si>
  <si>
    <t>ORD10014</t>
  </si>
  <si>
    <t>C014</t>
  </si>
  <si>
    <t>Isha Jain</t>
  </si>
  <si>
    <t>P020</t>
  </si>
  <si>
    <t>Desk Lamp</t>
  </si>
  <si>
    <t>ORD10015</t>
  </si>
  <si>
    <t>C015</t>
  </si>
  <si>
    <t>Mohit Rao</t>
  </si>
  <si>
    <t>P005</t>
  </si>
  <si>
    <t>Tablet</t>
  </si>
  <si>
    <t>ORD10016</t>
  </si>
  <si>
    <t>C016</t>
  </si>
  <si>
    <t>Simran Nair</t>
  </si>
  <si>
    <t>P018</t>
  </si>
  <si>
    <t>Bed Sheet</t>
  </si>
  <si>
    <t>ORD10017</t>
  </si>
  <si>
    <t>C017</t>
  </si>
  <si>
    <t>Varun Reddy</t>
  </si>
  <si>
    <t>P013</t>
  </si>
  <si>
    <t>Jacket</t>
  </si>
  <si>
    <t>ORD10018</t>
  </si>
  <si>
    <t>C018</t>
  </si>
  <si>
    <t>Kavya Sinha</t>
  </si>
  <si>
    <t>P008</t>
  </si>
  <si>
    <t>Bookshelf</t>
  </si>
  <si>
    <t>Returned</t>
  </si>
  <si>
    <t>ORD10019</t>
  </si>
  <si>
    <t>C019</t>
  </si>
  <si>
    <t>Manish Das</t>
  </si>
  <si>
    <t>P016</t>
  </si>
  <si>
    <t>Mixer Grinder</t>
  </si>
  <si>
    <t>ORD10020</t>
  </si>
  <si>
    <t>C020</t>
  </si>
  <si>
    <t>Tanya Kapoor</t>
  </si>
  <si>
    <t>P019</t>
  </si>
  <si>
    <t>Curtains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</si>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</sst>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/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DDE91-C08D-4B7F-884A-C87CE4ABB937}" name="Table1" displayName="Table1" ref="A1:T51" totalsRowShown="0" headerRowDxfId="21" dataDxfId="20">
  <autoFilter ref="A1:T51" xr:uid="{C88DDE91-C08D-4B7F-884A-C87CE4ABB937}"/>
  <tableColumns count="20">
    <tableColumn id="1" xr3:uid="{A29D6939-153C-4C0F-A33D-618A46F12E9A}" name="Order_ID" dataDxfId="19"/>
    <tableColumn id="2" xr3:uid="{3D45819A-FD78-4F10-8F0D-1529DE2FB9CB}" name="Order_Date" dataDxfId="18"/>
    <tableColumn id="3" xr3:uid="{4ACE0B14-BC06-4049-B762-A254463C715F}" name="Customer_ID" dataDxfId="17"/>
    <tableColumn id="4" xr3:uid="{154514BE-3023-4C23-9751-12A6C2B3C5DA}" name="Customer_Name" dataDxfId="16"/>
    <tableColumn id="5" xr3:uid="{22585A97-E8A5-4015-B38E-24B1AC38428F}" name="Product_ID" dataDxfId="15"/>
    <tableColumn id="6" xr3:uid="{F6703492-D6BD-41E6-B01F-C39528CC2D0D}" name="Product" dataDxfId="14"/>
    <tableColumn id="7" xr3:uid="{DF77F9EA-4221-4548-AFC7-15425054FECE}" name="Category" dataDxfId="13"/>
    <tableColumn id="8" xr3:uid="{6678ACA7-6D11-43DF-A917-0E4BFC39A5B4}" name="Country" dataDxfId="12"/>
    <tableColumn id="9" xr3:uid="{49F787B0-ADED-4947-A01F-E8453F5CB95F}" name="State" dataDxfId="11"/>
    <tableColumn id="10" xr3:uid="{F2740272-C679-4C55-B737-C246003E0084}" name="City" dataDxfId="10"/>
    <tableColumn id="11" xr3:uid="{A13F411D-6B32-450F-99AC-578DF4361390}" name="Quantity" dataDxfId="9"/>
    <tableColumn id="12" xr3:uid="{2C58EB3E-D0AB-4788-85DD-FA4E3403CA51}" name="Unit_Price" dataDxfId="8"/>
    <tableColumn id="13" xr3:uid="{F7608031-939A-4FA8-9138-94C39ABA3804}" name="Discount" dataDxfId="7"/>
    <tableColumn id="14" xr3:uid="{DA0C5109-307D-4399-8EA6-50E13BCA2070}" name="Sales" dataDxfId="6"/>
    <tableColumn id="15" xr3:uid="{9C8FB309-BCDC-4598-AF2E-212D14EC229C}" name="Cost" dataDxfId="5"/>
    <tableColumn id="16" xr3:uid="{C640EC89-AAA6-4047-9C00-A9CCD9897AED}" name="Salary" dataDxfId="4"/>
    <tableColumn id="17" xr3:uid="{5AEADDE1-3F6E-4F87-926A-7E9FBF2CD2F5}" name="Customer_Rating" dataDxfId="3"/>
    <tableColumn id="18" xr3:uid="{70A48EE3-F918-4C10-B975-B32CA4B95F70}" name="Payment_Method" dataDxfId="2"/>
    <tableColumn id="19" xr3:uid="{1EE3F7C6-A098-418A-B2E1-7E555FA8EB56}" name="Sales_Channel" dataDxfId="1"/>
    <tableColumn id="20" xr3:uid="{9CDBDEF9-B79F-45B3-B01B-909D2D0F4B95}" name="Order_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workbookViewId="0">
      <selection activeCell="Z21" sqref="Z21"/>
    </sheetView>
  </sheetViews>
  <sheetFormatPr defaultRowHeight="14.25" x14ac:dyDescent="0.45"/>
  <cols>
    <col min="1" max="1" width="12.53125" bestFit="1" customWidth="1"/>
    <col min="2" max="2" width="14.59765625" bestFit="1" customWidth="1"/>
    <col min="3" max="3" width="15.6640625" bestFit="1" customWidth="1"/>
    <col min="4" max="4" width="18.796875" bestFit="1" customWidth="1"/>
    <col min="5" max="5" width="14.1328125" bestFit="1" customWidth="1"/>
    <col min="6" max="6" width="11.73046875" bestFit="1" customWidth="1"/>
    <col min="7" max="7" width="12.33203125" bestFit="1" customWidth="1"/>
    <col min="8" max="8" width="11.59765625" bestFit="1" customWidth="1"/>
    <col min="9" max="9" width="11.6640625" bestFit="1" customWidth="1"/>
    <col min="10" max="10" width="10.19921875" bestFit="1" customWidth="1"/>
    <col min="11" max="11" width="12.265625" bestFit="1" customWidth="1"/>
    <col min="12" max="12" width="13.46484375" bestFit="1" customWidth="1"/>
    <col min="13" max="13" width="12.265625" bestFit="1" customWidth="1"/>
    <col min="14" max="14" width="9.265625" bestFit="1" customWidth="1"/>
    <col min="15" max="15" width="8.6640625" bestFit="1" customWidth="1"/>
    <col min="16" max="16" width="9.59765625" bestFit="1" customWidth="1"/>
    <col min="17" max="17" width="19.1328125" bestFit="1" customWidth="1"/>
    <col min="18" max="18" width="19.86328125" bestFit="1" customWidth="1"/>
    <col min="19" max="19" width="16.796875" bestFit="1" customWidth="1"/>
    <col min="20" max="20" width="15.86328125" bestFit="1" customWidth="1"/>
    <col min="23" max="23" width="11.6640625" bestFit="1" customWidth="1"/>
    <col min="24" max="24" width="11.33203125" customWidth="1"/>
    <col min="26" max="26" width="11.6640625" bestFit="1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189</v>
      </c>
      <c r="Q1" s="1" t="s">
        <v>15</v>
      </c>
      <c r="R1" s="1" t="s">
        <v>16</v>
      </c>
      <c r="S1" s="1" t="s">
        <v>17</v>
      </c>
      <c r="T1" s="1" t="s">
        <v>18</v>
      </c>
      <c r="W1" s="8" t="s">
        <v>8</v>
      </c>
      <c r="X1" s="8" t="s">
        <v>189</v>
      </c>
    </row>
    <row r="2" spans="1:26" x14ac:dyDescent="0.45">
      <c r="A2" s="1" t="s">
        <v>19</v>
      </c>
      <c r="B2" s="2">
        <v>45662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2</v>
      </c>
      <c r="L2" s="1">
        <v>65000</v>
      </c>
      <c r="M2" s="3">
        <v>0.1</v>
      </c>
      <c r="N2" s="1">
        <v>117000</v>
      </c>
      <c r="O2" s="1">
        <v>78000</v>
      </c>
      <c r="P2" s="1">
        <v>39000</v>
      </c>
      <c r="Q2" s="1">
        <v>4.5</v>
      </c>
      <c r="R2" s="1" t="s">
        <v>28</v>
      </c>
      <c r="S2" s="1" t="s">
        <v>29</v>
      </c>
      <c r="T2" s="1" t="s">
        <v>30</v>
      </c>
      <c r="W2" s="9" t="s">
        <v>26</v>
      </c>
      <c r="X2" s="9">
        <f>DSUM($A$1:$T$51,"Salary",$W$1:$W$2)</f>
        <v>70390</v>
      </c>
    </row>
    <row r="3" spans="1:26" x14ac:dyDescent="0.45">
      <c r="A3" s="1" t="s">
        <v>31</v>
      </c>
      <c r="B3" s="2">
        <v>45664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24</v>
      </c>
      <c r="H3" s="1" t="s">
        <v>25</v>
      </c>
      <c r="I3" s="1" t="s">
        <v>36</v>
      </c>
      <c r="J3" s="1" t="s">
        <v>37</v>
      </c>
      <c r="K3" s="1">
        <v>1</v>
      </c>
      <c r="L3" s="1">
        <v>42000</v>
      </c>
      <c r="M3" s="3">
        <v>0.05</v>
      </c>
      <c r="N3" s="1">
        <v>39900</v>
      </c>
      <c r="O3" s="1">
        <v>28000</v>
      </c>
      <c r="P3" s="1">
        <v>11900</v>
      </c>
      <c r="Q3" s="1">
        <v>4.2</v>
      </c>
      <c r="R3" s="1" t="s">
        <v>38</v>
      </c>
      <c r="S3" s="1" t="s">
        <v>39</v>
      </c>
      <c r="T3" s="1" t="s">
        <v>30</v>
      </c>
    </row>
    <row r="4" spans="1:26" x14ac:dyDescent="0.45">
      <c r="A4" s="1" t="s">
        <v>40</v>
      </c>
      <c r="B4" s="2">
        <v>45666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25</v>
      </c>
      <c r="I4" s="1" t="s">
        <v>46</v>
      </c>
      <c r="J4" s="1" t="s">
        <v>47</v>
      </c>
      <c r="K4" s="1">
        <v>3</v>
      </c>
      <c r="L4" s="1">
        <v>899</v>
      </c>
      <c r="M4" s="3">
        <v>0.1</v>
      </c>
      <c r="N4" s="1">
        <v>2427.3000000000002</v>
      </c>
      <c r="O4" s="1">
        <v>1500</v>
      </c>
      <c r="P4" s="1">
        <v>927.3</v>
      </c>
      <c r="Q4" s="1">
        <v>4</v>
      </c>
      <c r="R4" s="1" t="s">
        <v>28</v>
      </c>
      <c r="S4" s="1" t="s">
        <v>29</v>
      </c>
      <c r="T4" s="1" t="s">
        <v>30</v>
      </c>
    </row>
    <row r="5" spans="1:26" x14ac:dyDescent="0.45">
      <c r="A5" s="1" t="s">
        <v>48</v>
      </c>
      <c r="B5" s="2">
        <v>45669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54</v>
      </c>
      <c r="J5" s="1" t="s">
        <v>55</v>
      </c>
      <c r="K5" s="1">
        <v>1</v>
      </c>
      <c r="L5" s="1">
        <v>8500</v>
      </c>
      <c r="M5" s="3">
        <v>0.15</v>
      </c>
      <c r="N5" s="1">
        <v>7225</v>
      </c>
      <c r="O5" s="1">
        <v>5100</v>
      </c>
      <c r="P5" s="1">
        <v>2125</v>
      </c>
      <c r="Q5" s="1">
        <v>4.5999999999999996</v>
      </c>
      <c r="R5" s="1" t="s">
        <v>56</v>
      </c>
      <c r="S5" s="1" t="s">
        <v>57</v>
      </c>
      <c r="T5" s="1" t="s">
        <v>30</v>
      </c>
    </row>
    <row r="6" spans="1:26" x14ac:dyDescent="0.45">
      <c r="A6" s="1" t="s">
        <v>58</v>
      </c>
      <c r="B6" s="2">
        <v>45672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25</v>
      </c>
      <c r="I6" s="1" t="s">
        <v>64</v>
      </c>
      <c r="J6" s="1" t="s">
        <v>65</v>
      </c>
      <c r="K6" s="1">
        <v>2</v>
      </c>
      <c r="L6" s="1">
        <v>4500</v>
      </c>
      <c r="M6" s="3">
        <v>0.05</v>
      </c>
      <c r="N6" s="1">
        <v>8550</v>
      </c>
      <c r="O6" s="1">
        <v>5400</v>
      </c>
      <c r="P6" s="1">
        <v>3150</v>
      </c>
      <c r="Q6" s="1">
        <v>4.3</v>
      </c>
      <c r="R6" s="1" t="s">
        <v>66</v>
      </c>
      <c r="S6" s="1" t="s">
        <v>57</v>
      </c>
      <c r="T6" s="1" t="s">
        <v>30</v>
      </c>
    </row>
    <row r="7" spans="1:26" x14ac:dyDescent="0.45">
      <c r="A7" s="1" t="s">
        <v>67</v>
      </c>
      <c r="B7" s="2">
        <v>45675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25</v>
      </c>
      <c r="I7" s="1" t="s">
        <v>73</v>
      </c>
      <c r="J7" s="1" t="s">
        <v>74</v>
      </c>
      <c r="K7" s="1">
        <v>4</v>
      </c>
      <c r="L7" s="1">
        <v>1800</v>
      </c>
      <c r="M7" s="3">
        <v>0.1</v>
      </c>
      <c r="N7" s="1">
        <v>6480</v>
      </c>
      <c r="O7" s="1">
        <v>4000</v>
      </c>
      <c r="P7" s="1">
        <v>2480</v>
      </c>
      <c r="Q7" s="1">
        <v>4.0999999999999996</v>
      </c>
      <c r="R7" s="1" t="s">
        <v>28</v>
      </c>
      <c r="S7" s="1" t="s">
        <v>75</v>
      </c>
      <c r="T7" s="1" t="s">
        <v>76</v>
      </c>
      <c r="W7" s="4"/>
      <c r="X7" s="4"/>
      <c r="Z7" s="5" t="s">
        <v>26</v>
      </c>
    </row>
    <row r="8" spans="1:26" x14ac:dyDescent="0.45">
      <c r="A8" s="1" t="s">
        <v>77</v>
      </c>
      <c r="B8" s="2">
        <v>45678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45</v>
      </c>
      <c r="H8" s="1" t="s">
        <v>25</v>
      </c>
      <c r="I8" s="1" t="s">
        <v>82</v>
      </c>
      <c r="J8" s="1" t="s">
        <v>83</v>
      </c>
      <c r="K8" s="1">
        <v>2</v>
      </c>
      <c r="L8" s="1">
        <v>3200</v>
      </c>
      <c r="M8" s="3">
        <v>0.2</v>
      </c>
      <c r="N8" s="1">
        <v>5120</v>
      </c>
      <c r="O8" s="1">
        <v>3000</v>
      </c>
      <c r="P8" s="1">
        <v>2120</v>
      </c>
      <c r="Q8" s="1">
        <v>4.7</v>
      </c>
      <c r="R8" s="1" t="s">
        <v>38</v>
      </c>
      <c r="S8" s="1" t="s">
        <v>29</v>
      </c>
      <c r="T8" s="1" t="s">
        <v>30</v>
      </c>
      <c r="Z8" s="6" t="s">
        <v>36</v>
      </c>
    </row>
    <row r="9" spans="1:26" x14ac:dyDescent="0.45">
      <c r="A9" s="1" t="s">
        <v>84</v>
      </c>
      <c r="B9" s="2">
        <v>45682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25</v>
      </c>
      <c r="I9" s="1" t="s">
        <v>90</v>
      </c>
      <c r="J9" s="1" t="s">
        <v>91</v>
      </c>
      <c r="K9" s="1">
        <v>5</v>
      </c>
      <c r="L9" s="1">
        <v>650</v>
      </c>
      <c r="M9" s="3">
        <v>0.05</v>
      </c>
      <c r="N9" s="1">
        <v>3087.5</v>
      </c>
      <c r="O9" s="1">
        <v>1750</v>
      </c>
      <c r="P9" s="1">
        <v>1337.5</v>
      </c>
      <c r="Q9" s="1">
        <v>3.9</v>
      </c>
      <c r="R9" s="1" t="s">
        <v>28</v>
      </c>
      <c r="S9" s="1" t="s">
        <v>39</v>
      </c>
      <c r="T9" s="1" t="s">
        <v>30</v>
      </c>
      <c r="Z9" s="5" t="s">
        <v>46</v>
      </c>
    </row>
    <row r="10" spans="1:26" x14ac:dyDescent="0.45">
      <c r="A10" s="1" t="s">
        <v>92</v>
      </c>
      <c r="B10" s="2">
        <v>45685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53</v>
      </c>
      <c r="H10" s="1" t="s">
        <v>25</v>
      </c>
      <c r="I10" s="1" t="s">
        <v>36</v>
      </c>
      <c r="J10" s="1" t="s">
        <v>97</v>
      </c>
      <c r="K10" s="1">
        <v>1</v>
      </c>
      <c r="L10" s="1">
        <v>12000</v>
      </c>
      <c r="M10" s="3">
        <v>0.1</v>
      </c>
      <c r="N10" s="1">
        <v>10800</v>
      </c>
      <c r="O10" s="1">
        <v>7200</v>
      </c>
      <c r="P10" s="1">
        <v>3600</v>
      </c>
      <c r="Q10" s="1">
        <v>4.4000000000000004</v>
      </c>
      <c r="R10" s="1" t="s">
        <v>98</v>
      </c>
      <c r="S10" s="1" t="s">
        <v>29</v>
      </c>
      <c r="T10" s="1" t="s">
        <v>30</v>
      </c>
      <c r="Z10" s="6" t="s">
        <v>54</v>
      </c>
    </row>
    <row r="11" spans="1:26" x14ac:dyDescent="0.45">
      <c r="A11" s="1" t="s">
        <v>99</v>
      </c>
      <c r="B11" s="2">
        <v>45690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24</v>
      </c>
      <c r="H11" s="1" t="s">
        <v>25</v>
      </c>
      <c r="I11" s="1" t="s">
        <v>104</v>
      </c>
      <c r="J11" s="1" t="s">
        <v>105</v>
      </c>
      <c r="K11" s="1">
        <v>2</v>
      </c>
      <c r="L11" s="1">
        <v>7500</v>
      </c>
      <c r="M11" s="3">
        <v>0.15</v>
      </c>
      <c r="N11" s="1">
        <v>12750</v>
      </c>
      <c r="O11" s="1">
        <v>8500</v>
      </c>
      <c r="P11" s="1">
        <v>4250</v>
      </c>
      <c r="Q11" s="1">
        <v>4.5</v>
      </c>
      <c r="R11" s="1" t="s">
        <v>38</v>
      </c>
      <c r="S11" s="1" t="s">
        <v>39</v>
      </c>
      <c r="T11" s="1" t="s">
        <v>30</v>
      </c>
      <c r="Z11" s="5" t="s">
        <v>64</v>
      </c>
    </row>
    <row r="12" spans="1:26" x14ac:dyDescent="0.45">
      <c r="A12" s="1" t="s">
        <v>106</v>
      </c>
      <c r="B12" s="2">
        <v>45693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24</v>
      </c>
      <c r="H12" s="1" t="s">
        <v>25</v>
      </c>
      <c r="I12" s="1" t="s">
        <v>26</v>
      </c>
      <c r="J12" s="1" t="s">
        <v>111</v>
      </c>
      <c r="K12" s="1">
        <v>3</v>
      </c>
      <c r="L12" s="1">
        <v>2500</v>
      </c>
      <c r="M12" s="3">
        <v>0.1</v>
      </c>
      <c r="N12" s="1">
        <v>6750</v>
      </c>
      <c r="O12" s="1">
        <v>4200</v>
      </c>
      <c r="P12" s="1">
        <v>2550</v>
      </c>
      <c r="Q12" s="1">
        <v>4.2</v>
      </c>
      <c r="R12" s="1" t="s">
        <v>28</v>
      </c>
      <c r="S12" s="1" t="s">
        <v>29</v>
      </c>
      <c r="T12" s="1" t="s">
        <v>30</v>
      </c>
      <c r="Z12" s="6" t="s">
        <v>73</v>
      </c>
    </row>
    <row r="13" spans="1:26" x14ac:dyDescent="0.45">
      <c r="A13" s="1" t="s">
        <v>112</v>
      </c>
      <c r="B13" s="2">
        <v>45696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45</v>
      </c>
      <c r="H13" s="1" t="s">
        <v>25</v>
      </c>
      <c r="I13" s="1" t="s">
        <v>26</v>
      </c>
      <c r="J13" s="1" t="s">
        <v>117</v>
      </c>
      <c r="K13" s="1">
        <v>2</v>
      </c>
      <c r="L13" s="1">
        <v>2200</v>
      </c>
      <c r="M13" s="3">
        <v>0.05</v>
      </c>
      <c r="N13" s="1">
        <v>4180</v>
      </c>
      <c r="O13" s="1">
        <v>2500</v>
      </c>
      <c r="P13" s="1">
        <v>1680</v>
      </c>
      <c r="Q13" s="1">
        <v>4</v>
      </c>
      <c r="R13" s="1" t="s">
        <v>56</v>
      </c>
      <c r="S13" s="1" t="s">
        <v>75</v>
      </c>
      <c r="T13" s="1" t="s">
        <v>76</v>
      </c>
      <c r="Z13" s="5" t="s">
        <v>82</v>
      </c>
    </row>
    <row r="14" spans="1:26" x14ac:dyDescent="0.45">
      <c r="A14" s="1" t="s">
        <v>118</v>
      </c>
      <c r="B14" s="2">
        <v>45699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63</v>
      </c>
      <c r="H14" s="1" t="s">
        <v>25</v>
      </c>
      <c r="I14" s="1" t="s">
        <v>54</v>
      </c>
      <c r="J14" s="1" t="s">
        <v>55</v>
      </c>
      <c r="K14" s="1">
        <v>1</v>
      </c>
      <c r="L14" s="1">
        <v>8500</v>
      </c>
      <c r="M14" s="3">
        <v>0.1</v>
      </c>
      <c r="N14" s="1">
        <v>7650</v>
      </c>
      <c r="O14" s="1">
        <v>5200</v>
      </c>
      <c r="P14" s="1">
        <v>2450</v>
      </c>
      <c r="Q14" s="1">
        <v>4.5999999999999996</v>
      </c>
      <c r="R14" s="1" t="s">
        <v>38</v>
      </c>
      <c r="S14" s="1" t="s">
        <v>29</v>
      </c>
      <c r="T14" s="1" t="s">
        <v>30</v>
      </c>
      <c r="Z14" s="6" t="s">
        <v>90</v>
      </c>
    </row>
    <row r="15" spans="1:26" x14ac:dyDescent="0.45">
      <c r="A15" s="1" t="s">
        <v>123</v>
      </c>
      <c r="B15" s="2">
        <v>45702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89</v>
      </c>
      <c r="H15" s="1" t="s">
        <v>25</v>
      </c>
      <c r="I15" s="1" t="s">
        <v>46</v>
      </c>
      <c r="J15" s="1" t="s">
        <v>47</v>
      </c>
      <c r="K15" s="1">
        <v>3</v>
      </c>
      <c r="L15" s="1">
        <v>1400</v>
      </c>
      <c r="M15" s="3">
        <v>0.15</v>
      </c>
      <c r="N15" s="1">
        <v>3570</v>
      </c>
      <c r="O15" s="1">
        <v>2100</v>
      </c>
      <c r="P15" s="1">
        <v>1470</v>
      </c>
      <c r="Q15" s="1">
        <v>4.3</v>
      </c>
      <c r="R15" s="1" t="s">
        <v>28</v>
      </c>
      <c r="S15" s="1" t="s">
        <v>39</v>
      </c>
      <c r="T15" s="1" t="s">
        <v>30</v>
      </c>
      <c r="Z15" s="6" t="s">
        <v>104</v>
      </c>
    </row>
    <row r="16" spans="1:26" x14ac:dyDescent="0.45">
      <c r="A16" s="1" t="s">
        <v>128</v>
      </c>
      <c r="B16" s="2">
        <v>45706</v>
      </c>
      <c r="C16" s="1" t="s">
        <v>129</v>
      </c>
      <c r="D16" s="1" t="s">
        <v>130</v>
      </c>
      <c r="E16" s="1" t="s">
        <v>131</v>
      </c>
      <c r="F16" s="1" t="s">
        <v>132</v>
      </c>
      <c r="G16" s="1" t="s">
        <v>24</v>
      </c>
      <c r="H16" s="1" t="s">
        <v>25</v>
      </c>
      <c r="I16" s="1" t="s">
        <v>64</v>
      </c>
      <c r="J16" s="1" t="s">
        <v>65</v>
      </c>
      <c r="K16" s="1">
        <v>1</v>
      </c>
      <c r="L16" s="1">
        <v>28000</v>
      </c>
      <c r="M16" s="3">
        <v>0.2</v>
      </c>
      <c r="N16" s="1">
        <v>22400</v>
      </c>
      <c r="O16" s="1">
        <v>16000</v>
      </c>
      <c r="P16" s="1">
        <v>6400</v>
      </c>
      <c r="Q16" s="1">
        <v>4.8</v>
      </c>
      <c r="R16" s="1" t="s">
        <v>98</v>
      </c>
      <c r="S16" s="1" t="s">
        <v>29</v>
      </c>
      <c r="T16" s="1" t="s">
        <v>30</v>
      </c>
    </row>
    <row r="17" spans="1:27" x14ac:dyDescent="0.45">
      <c r="A17" s="1" t="s">
        <v>133</v>
      </c>
      <c r="B17" s="2">
        <v>45709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89</v>
      </c>
      <c r="H17" s="1" t="s">
        <v>25</v>
      </c>
      <c r="I17" s="1" t="s">
        <v>36</v>
      </c>
      <c r="J17" s="1" t="s">
        <v>37</v>
      </c>
      <c r="K17" s="1">
        <v>4</v>
      </c>
      <c r="L17" s="1">
        <v>1200</v>
      </c>
      <c r="M17" s="3">
        <v>0.05</v>
      </c>
      <c r="N17" s="1">
        <v>4560</v>
      </c>
      <c r="O17" s="1">
        <v>2800</v>
      </c>
      <c r="P17" s="1">
        <v>1760</v>
      </c>
      <c r="Q17" s="1">
        <v>4.0999999999999996</v>
      </c>
      <c r="R17" s="1" t="s">
        <v>28</v>
      </c>
      <c r="S17" s="1" t="s">
        <v>75</v>
      </c>
      <c r="T17" s="1" t="s">
        <v>30</v>
      </c>
    </row>
    <row r="18" spans="1:27" x14ac:dyDescent="0.45">
      <c r="A18" s="1" t="s">
        <v>138</v>
      </c>
      <c r="B18" s="2">
        <v>45712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45</v>
      </c>
      <c r="H18" s="1" t="s">
        <v>25</v>
      </c>
      <c r="I18" s="1" t="s">
        <v>73</v>
      </c>
      <c r="J18" s="1" t="s">
        <v>74</v>
      </c>
      <c r="K18" s="1">
        <v>2</v>
      </c>
      <c r="L18" s="1">
        <v>4500</v>
      </c>
      <c r="M18" s="3">
        <v>0.1</v>
      </c>
      <c r="N18" s="1">
        <v>8100</v>
      </c>
      <c r="O18" s="1">
        <v>5200</v>
      </c>
      <c r="P18" s="1">
        <v>2900</v>
      </c>
      <c r="Q18" s="1">
        <v>4.5</v>
      </c>
      <c r="R18" s="1" t="s">
        <v>38</v>
      </c>
      <c r="S18" s="1" t="s">
        <v>29</v>
      </c>
      <c r="T18" s="1" t="s">
        <v>30</v>
      </c>
    </row>
    <row r="19" spans="1:27" x14ac:dyDescent="0.45">
      <c r="A19" s="1" t="s">
        <v>143</v>
      </c>
      <c r="B19" s="2">
        <v>45715</v>
      </c>
      <c r="C19" s="1" t="s">
        <v>144</v>
      </c>
      <c r="D19" s="1" t="s">
        <v>145</v>
      </c>
      <c r="E19" s="1" t="s">
        <v>146</v>
      </c>
      <c r="F19" s="1" t="s">
        <v>147</v>
      </c>
      <c r="G19" s="1" t="s">
        <v>53</v>
      </c>
      <c r="H19" s="1" t="s">
        <v>25</v>
      </c>
      <c r="I19" s="1" t="s">
        <v>82</v>
      </c>
      <c r="J19" s="1" t="s">
        <v>83</v>
      </c>
      <c r="K19" s="1">
        <v>1</v>
      </c>
      <c r="L19" s="1">
        <v>7500</v>
      </c>
      <c r="M19" s="3">
        <v>0.15</v>
      </c>
      <c r="N19" s="1">
        <v>6375</v>
      </c>
      <c r="O19" s="1">
        <v>4200</v>
      </c>
      <c r="P19" s="1">
        <v>2175</v>
      </c>
      <c r="Q19" s="1">
        <v>3.8</v>
      </c>
      <c r="R19" s="1" t="s">
        <v>56</v>
      </c>
      <c r="S19" s="1" t="s">
        <v>57</v>
      </c>
      <c r="T19" s="1" t="s">
        <v>148</v>
      </c>
    </row>
    <row r="20" spans="1:27" x14ac:dyDescent="0.45">
      <c r="A20" s="1" t="s">
        <v>149</v>
      </c>
      <c r="B20" s="2">
        <v>45718</v>
      </c>
      <c r="C20" s="1" t="s">
        <v>150</v>
      </c>
      <c r="D20" s="1" t="s">
        <v>151</v>
      </c>
      <c r="E20" s="1" t="s">
        <v>152</v>
      </c>
      <c r="F20" s="1" t="s">
        <v>153</v>
      </c>
      <c r="G20" s="1" t="s">
        <v>63</v>
      </c>
      <c r="H20" s="1" t="s">
        <v>25</v>
      </c>
      <c r="I20" s="1" t="s">
        <v>90</v>
      </c>
      <c r="J20" s="1" t="s">
        <v>91</v>
      </c>
      <c r="K20" s="1">
        <v>2</v>
      </c>
      <c r="L20" s="1">
        <v>4800</v>
      </c>
      <c r="M20" s="3">
        <v>0.1</v>
      </c>
      <c r="N20" s="1">
        <v>8640</v>
      </c>
      <c r="O20" s="1">
        <v>5600</v>
      </c>
      <c r="P20" s="1">
        <v>3040</v>
      </c>
      <c r="Q20" s="1">
        <v>4.4000000000000004</v>
      </c>
      <c r="R20" s="1" t="s">
        <v>28</v>
      </c>
      <c r="S20" s="1" t="s">
        <v>39</v>
      </c>
      <c r="T20" s="1" t="s">
        <v>30</v>
      </c>
    </row>
    <row r="21" spans="1:27" x14ac:dyDescent="0.45">
      <c r="A21" s="1" t="s">
        <v>154</v>
      </c>
      <c r="B21" s="2">
        <v>45721</v>
      </c>
      <c r="C21" s="1" t="s">
        <v>155</v>
      </c>
      <c r="D21" s="1" t="s">
        <v>156</v>
      </c>
      <c r="E21" s="1" t="s">
        <v>157</v>
      </c>
      <c r="F21" s="1" t="s">
        <v>158</v>
      </c>
      <c r="G21" s="1" t="s">
        <v>89</v>
      </c>
      <c r="H21" s="1" t="s">
        <v>25</v>
      </c>
      <c r="I21" s="1" t="s">
        <v>104</v>
      </c>
      <c r="J21" s="1" t="s">
        <v>105</v>
      </c>
      <c r="K21" s="1">
        <v>3</v>
      </c>
      <c r="L21" s="1">
        <v>1800</v>
      </c>
      <c r="M21" s="3">
        <v>0.05</v>
      </c>
      <c r="N21" s="1">
        <v>5130</v>
      </c>
      <c r="O21" s="1">
        <v>3150</v>
      </c>
      <c r="P21" s="1">
        <v>1980</v>
      </c>
      <c r="Q21" s="1">
        <v>4.2</v>
      </c>
      <c r="R21" s="1" t="s">
        <v>66</v>
      </c>
      <c r="S21" s="1" t="s">
        <v>57</v>
      </c>
      <c r="T21" s="1" t="s">
        <v>30</v>
      </c>
    </row>
    <row r="22" spans="1:27" x14ac:dyDescent="0.45">
      <c r="A22" s="1" t="s">
        <v>159</v>
      </c>
      <c r="B22" s="2">
        <v>45724</v>
      </c>
      <c r="C22" s="1" t="s">
        <v>20</v>
      </c>
      <c r="D22" s="1" t="s">
        <v>21</v>
      </c>
      <c r="E22" s="1" t="s">
        <v>34</v>
      </c>
      <c r="F22" s="1" t="s">
        <v>35</v>
      </c>
      <c r="G22" s="1" t="s">
        <v>24</v>
      </c>
      <c r="H22" s="1" t="s">
        <v>25</v>
      </c>
      <c r="I22" s="1" t="s">
        <v>26</v>
      </c>
      <c r="J22" s="1" t="s">
        <v>27</v>
      </c>
      <c r="K22" s="1">
        <v>2</v>
      </c>
      <c r="L22" s="1">
        <v>38000</v>
      </c>
      <c r="M22" s="3">
        <v>0.1</v>
      </c>
      <c r="N22" s="1">
        <v>68400</v>
      </c>
      <c r="O22" s="1">
        <v>48000</v>
      </c>
      <c r="P22" s="1">
        <v>20400</v>
      </c>
      <c r="Q22" s="1">
        <v>4.7</v>
      </c>
      <c r="R22" s="1" t="s">
        <v>38</v>
      </c>
      <c r="S22" s="1" t="s">
        <v>29</v>
      </c>
      <c r="T22" s="1" t="s">
        <v>30</v>
      </c>
    </row>
    <row r="23" spans="1:27" x14ac:dyDescent="0.45">
      <c r="A23" s="1" t="s">
        <v>160</v>
      </c>
      <c r="B23" s="2">
        <v>45727</v>
      </c>
      <c r="C23" s="1" t="s">
        <v>32</v>
      </c>
      <c r="D23" s="1" t="s">
        <v>33</v>
      </c>
      <c r="E23" s="1" t="s">
        <v>80</v>
      </c>
      <c r="F23" s="1" t="s">
        <v>81</v>
      </c>
      <c r="G23" s="1" t="s">
        <v>45</v>
      </c>
      <c r="H23" s="1" t="s">
        <v>25</v>
      </c>
      <c r="I23" s="1" t="s">
        <v>36</v>
      </c>
      <c r="J23" s="1" t="s">
        <v>37</v>
      </c>
      <c r="K23" s="1">
        <v>1</v>
      </c>
      <c r="L23" s="1">
        <v>4500</v>
      </c>
      <c r="M23" s="3">
        <v>0.05</v>
      </c>
      <c r="N23" s="1">
        <v>4275</v>
      </c>
      <c r="O23" s="1">
        <v>2700</v>
      </c>
      <c r="P23" s="1">
        <v>1575</v>
      </c>
      <c r="Q23" s="1">
        <v>4.0999999999999996</v>
      </c>
      <c r="R23" s="1" t="s">
        <v>28</v>
      </c>
      <c r="S23" s="1" t="s">
        <v>39</v>
      </c>
      <c r="T23" s="1" t="s">
        <v>30</v>
      </c>
    </row>
    <row r="24" spans="1:27" ht="14.65" thickBot="1" x14ac:dyDescent="0.5">
      <c r="A24" s="1" t="s">
        <v>161</v>
      </c>
      <c r="B24" s="2">
        <v>45730</v>
      </c>
      <c r="C24" s="1" t="s">
        <v>41</v>
      </c>
      <c r="D24" s="1" t="s">
        <v>42</v>
      </c>
      <c r="E24" s="1" t="s">
        <v>51</v>
      </c>
      <c r="F24" s="1" t="s">
        <v>52</v>
      </c>
      <c r="G24" s="1" t="s">
        <v>53</v>
      </c>
      <c r="H24" s="1" t="s">
        <v>25</v>
      </c>
      <c r="I24" s="1" t="s">
        <v>46</v>
      </c>
      <c r="J24" s="1" t="s">
        <v>47</v>
      </c>
      <c r="K24" s="1">
        <v>2</v>
      </c>
      <c r="L24" s="1">
        <v>7200</v>
      </c>
      <c r="M24" s="3">
        <v>0.1</v>
      </c>
      <c r="N24" s="1">
        <v>12960</v>
      </c>
      <c r="O24" s="1">
        <v>9000</v>
      </c>
      <c r="P24" s="1">
        <v>3960</v>
      </c>
      <c r="Q24" s="1">
        <v>4.3</v>
      </c>
      <c r="R24" s="1" t="s">
        <v>56</v>
      </c>
      <c r="S24" s="1" t="s">
        <v>29</v>
      </c>
      <c r="T24" s="1" t="s">
        <v>76</v>
      </c>
      <c r="AA24" s="7"/>
    </row>
    <row r="25" spans="1:27" x14ac:dyDescent="0.45">
      <c r="A25" s="1" t="s">
        <v>162</v>
      </c>
      <c r="B25" s="2">
        <v>45733</v>
      </c>
      <c r="C25" s="1" t="s">
        <v>49</v>
      </c>
      <c r="D25" s="1" t="s">
        <v>50</v>
      </c>
      <c r="E25" s="1" t="s">
        <v>109</v>
      </c>
      <c r="F25" s="1" t="s">
        <v>110</v>
      </c>
      <c r="G25" s="1" t="s">
        <v>24</v>
      </c>
      <c r="H25" s="1" t="s">
        <v>25</v>
      </c>
      <c r="I25" s="1" t="s">
        <v>54</v>
      </c>
      <c r="J25" s="1" t="s">
        <v>55</v>
      </c>
      <c r="K25" s="1">
        <v>4</v>
      </c>
      <c r="L25" s="1">
        <v>2200</v>
      </c>
      <c r="M25" s="3">
        <v>0.15</v>
      </c>
      <c r="N25" s="1">
        <v>7480</v>
      </c>
      <c r="O25" s="1">
        <v>4800</v>
      </c>
      <c r="P25" s="1">
        <v>2680</v>
      </c>
      <c r="Q25" s="1">
        <v>4.5999999999999996</v>
      </c>
      <c r="R25" s="1" t="s">
        <v>28</v>
      </c>
      <c r="S25" s="1" t="s">
        <v>75</v>
      </c>
      <c r="T25" s="1" t="s">
        <v>30</v>
      </c>
      <c r="AA25" s="5"/>
    </row>
    <row r="26" spans="1:27" x14ac:dyDescent="0.45">
      <c r="A26" s="1" t="s">
        <v>163</v>
      </c>
      <c r="B26" s="2">
        <v>45736</v>
      </c>
      <c r="C26" s="1" t="s">
        <v>59</v>
      </c>
      <c r="D26" s="1" t="s">
        <v>60</v>
      </c>
      <c r="E26" s="1" t="s">
        <v>43</v>
      </c>
      <c r="F26" s="1" t="s">
        <v>44</v>
      </c>
      <c r="G26" s="1" t="s">
        <v>45</v>
      </c>
      <c r="H26" s="1" t="s">
        <v>25</v>
      </c>
      <c r="I26" s="1" t="s">
        <v>64</v>
      </c>
      <c r="J26" s="1" t="s">
        <v>65</v>
      </c>
      <c r="K26" s="1">
        <v>5</v>
      </c>
      <c r="L26" s="1">
        <v>799</v>
      </c>
      <c r="M26" s="3">
        <v>0.1</v>
      </c>
      <c r="N26" s="1">
        <v>3595.5</v>
      </c>
      <c r="O26" s="1">
        <v>2000</v>
      </c>
      <c r="P26" s="1">
        <v>1595.5</v>
      </c>
      <c r="Q26" s="1">
        <v>4</v>
      </c>
      <c r="R26" s="1" t="s">
        <v>66</v>
      </c>
      <c r="S26" s="1" t="s">
        <v>57</v>
      </c>
      <c r="T26" s="1" t="s">
        <v>30</v>
      </c>
      <c r="AA26" s="6"/>
    </row>
    <row r="27" spans="1:27" x14ac:dyDescent="0.45">
      <c r="A27" s="1" t="s">
        <v>164</v>
      </c>
      <c r="B27" s="2">
        <v>45739</v>
      </c>
      <c r="C27" s="1" t="s">
        <v>68</v>
      </c>
      <c r="D27" s="1" t="s">
        <v>69</v>
      </c>
      <c r="E27" s="1" t="s">
        <v>61</v>
      </c>
      <c r="F27" s="1" t="s">
        <v>62</v>
      </c>
      <c r="G27" s="1" t="s">
        <v>63</v>
      </c>
      <c r="H27" s="1" t="s">
        <v>25</v>
      </c>
      <c r="I27" s="1" t="s">
        <v>73</v>
      </c>
      <c r="J27" s="1" t="s">
        <v>74</v>
      </c>
      <c r="K27" s="1">
        <v>1</v>
      </c>
      <c r="L27" s="1">
        <v>6200</v>
      </c>
      <c r="M27" s="3">
        <v>0.05</v>
      </c>
      <c r="N27" s="1">
        <v>5890</v>
      </c>
      <c r="O27" s="1">
        <v>3900</v>
      </c>
      <c r="P27" s="1">
        <v>1990</v>
      </c>
      <c r="Q27" s="1">
        <v>4.4000000000000004</v>
      </c>
      <c r="R27" s="1" t="s">
        <v>38</v>
      </c>
      <c r="S27" s="1" t="s">
        <v>29</v>
      </c>
      <c r="T27" s="1" t="s">
        <v>30</v>
      </c>
      <c r="AA27" s="5"/>
    </row>
    <row r="28" spans="1:27" x14ac:dyDescent="0.45">
      <c r="A28" s="1" t="s">
        <v>165</v>
      </c>
      <c r="B28" s="2">
        <v>45742</v>
      </c>
      <c r="C28" s="1" t="s">
        <v>78</v>
      </c>
      <c r="D28" s="1" t="s">
        <v>79</v>
      </c>
      <c r="E28" s="1" t="s">
        <v>95</v>
      </c>
      <c r="F28" s="1" t="s">
        <v>96</v>
      </c>
      <c r="G28" s="1" t="s">
        <v>53</v>
      </c>
      <c r="H28" s="1" t="s">
        <v>25</v>
      </c>
      <c r="I28" s="1" t="s">
        <v>82</v>
      </c>
      <c r="J28" s="1" t="s">
        <v>83</v>
      </c>
      <c r="K28" s="1">
        <v>2</v>
      </c>
      <c r="L28" s="1">
        <v>9500</v>
      </c>
      <c r="M28" s="3">
        <v>0.2</v>
      </c>
      <c r="N28" s="1">
        <v>15200</v>
      </c>
      <c r="O28" s="1">
        <v>10000</v>
      </c>
      <c r="P28" s="1">
        <v>5200</v>
      </c>
      <c r="Q28" s="1">
        <v>4.8</v>
      </c>
      <c r="R28" s="1" t="s">
        <v>98</v>
      </c>
      <c r="S28" s="1" t="s">
        <v>29</v>
      </c>
      <c r="T28" s="1" t="s">
        <v>30</v>
      </c>
      <c r="AA28" s="6"/>
    </row>
    <row r="29" spans="1:27" x14ac:dyDescent="0.45">
      <c r="A29" s="1" t="s">
        <v>166</v>
      </c>
      <c r="B29" s="2">
        <v>45745</v>
      </c>
      <c r="C29" s="1" t="s">
        <v>85</v>
      </c>
      <c r="D29" s="1" t="s">
        <v>86</v>
      </c>
      <c r="E29" s="1" t="s">
        <v>87</v>
      </c>
      <c r="F29" s="1" t="s">
        <v>88</v>
      </c>
      <c r="G29" s="1" t="s">
        <v>89</v>
      </c>
      <c r="H29" s="1" t="s">
        <v>25</v>
      </c>
      <c r="I29" s="1" t="s">
        <v>90</v>
      </c>
      <c r="J29" s="1" t="s">
        <v>91</v>
      </c>
      <c r="K29" s="1">
        <v>6</v>
      </c>
      <c r="L29" s="1">
        <v>550</v>
      </c>
      <c r="M29" s="3">
        <v>0.1</v>
      </c>
      <c r="N29" s="1">
        <v>2970</v>
      </c>
      <c r="O29" s="1">
        <v>1800</v>
      </c>
      <c r="P29" s="1">
        <v>1170</v>
      </c>
      <c r="Q29" s="1">
        <v>3.7</v>
      </c>
      <c r="R29" s="1" t="s">
        <v>28</v>
      </c>
      <c r="S29" s="1" t="s">
        <v>39</v>
      </c>
      <c r="T29" s="1" t="s">
        <v>30</v>
      </c>
      <c r="AA29" s="5"/>
    </row>
    <row r="30" spans="1:27" x14ac:dyDescent="0.45">
      <c r="A30" s="1" t="s">
        <v>167</v>
      </c>
      <c r="B30" s="2">
        <v>45748</v>
      </c>
      <c r="C30" s="1" t="s">
        <v>93</v>
      </c>
      <c r="D30" s="1" t="s">
        <v>94</v>
      </c>
      <c r="E30" s="1" t="s">
        <v>131</v>
      </c>
      <c r="F30" s="1" t="s">
        <v>132</v>
      </c>
      <c r="G30" s="1" t="s">
        <v>24</v>
      </c>
      <c r="H30" s="1" t="s">
        <v>25</v>
      </c>
      <c r="I30" s="1" t="s">
        <v>36</v>
      </c>
      <c r="J30" s="1" t="s">
        <v>97</v>
      </c>
      <c r="K30" s="1">
        <v>1</v>
      </c>
      <c r="L30" s="1">
        <v>32000</v>
      </c>
      <c r="M30" s="3">
        <v>0.15</v>
      </c>
      <c r="N30" s="1">
        <v>27200</v>
      </c>
      <c r="O30" s="1">
        <v>19000</v>
      </c>
      <c r="P30" s="1">
        <v>8200</v>
      </c>
      <c r="Q30" s="1">
        <v>4.5</v>
      </c>
      <c r="R30" s="1" t="s">
        <v>38</v>
      </c>
      <c r="S30" s="1" t="s">
        <v>29</v>
      </c>
      <c r="T30" s="1" t="s">
        <v>30</v>
      </c>
      <c r="AA30" s="6"/>
    </row>
    <row r="31" spans="1:27" x14ac:dyDescent="0.45">
      <c r="A31" s="1" t="s">
        <v>168</v>
      </c>
      <c r="B31" s="2">
        <v>45751</v>
      </c>
      <c r="C31" s="1" t="s">
        <v>100</v>
      </c>
      <c r="D31" s="1" t="s">
        <v>101</v>
      </c>
      <c r="E31" s="1" t="s">
        <v>115</v>
      </c>
      <c r="F31" s="1" t="s">
        <v>116</v>
      </c>
      <c r="G31" s="1" t="s">
        <v>45</v>
      </c>
      <c r="H31" s="1" t="s">
        <v>25</v>
      </c>
      <c r="I31" s="1" t="s">
        <v>104</v>
      </c>
      <c r="J31" s="1" t="s">
        <v>105</v>
      </c>
      <c r="K31" s="1">
        <v>3</v>
      </c>
      <c r="L31" s="1">
        <v>2400</v>
      </c>
      <c r="M31" s="3">
        <v>0.1</v>
      </c>
      <c r="N31" s="1">
        <v>6480</v>
      </c>
      <c r="O31" s="1">
        <v>3900</v>
      </c>
      <c r="P31" s="1">
        <v>2580</v>
      </c>
      <c r="Q31" s="1">
        <v>4.2</v>
      </c>
      <c r="R31" s="1" t="s">
        <v>28</v>
      </c>
      <c r="S31" s="1" t="s">
        <v>75</v>
      </c>
      <c r="T31" s="1" t="s">
        <v>76</v>
      </c>
      <c r="AA31" s="5"/>
    </row>
    <row r="32" spans="1:27" x14ac:dyDescent="0.45">
      <c r="A32" s="1" t="s">
        <v>169</v>
      </c>
      <c r="B32" s="2">
        <v>45754</v>
      </c>
      <c r="C32" s="1" t="s">
        <v>107</v>
      </c>
      <c r="D32" s="1" t="s">
        <v>108</v>
      </c>
      <c r="E32" s="1" t="s">
        <v>126</v>
      </c>
      <c r="F32" s="1" t="s">
        <v>127</v>
      </c>
      <c r="G32" s="1" t="s">
        <v>89</v>
      </c>
      <c r="H32" s="1" t="s">
        <v>25</v>
      </c>
      <c r="I32" s="1" t="s">
        <v>26</v>
      </c>
      <c r="J32" s="1" t="s">
        <v>111</v>
      </c>
      <c r="K32" s="1">
        <v>2</v>
      </c>
      <c r="L32" s="1">
        <v>1600</v>
      </c>
      <c r="M32" s="3">
        <v>0.05</v>
      </c>
      <c r="N32" s="1">
        <v>3040</v>
      </c>
      <c r="O32" s="1">
        <v>1800</v>
      </c>
      <c r="P32" s="1">
        <v>1240</v>
      </c>
      <c r="Q32" s="1">
        <v>4</v>
      </c>
      <c r="R32" s="1" t="s">
        <v>66</v>
      </c>
      <c r="S32" s="1" t="s">
        <v>57</v>
      </c>
      <c r="T32" s="1" t="s">
        <v>30</v>
      </c>
      <c r="AA32" s="6"/>
    </row>
    <row r="33" spans="1:27" x14ac:dyDescent="0.45">
      <c r="A33" s="1" t="s">
        <v>170</v>
      </c>
      <c r="B33" s="2">
        <v>45757</v>
      </c>
      <c r="C33" s="1" t="s">
        <v>113</v>
      </c>
      <c r="D33" s="1" t="s">
        <v>114</v>
      </c>
      <c r="E33" s="1" t="s">
        <v>121</v>
      </c>
      <c r="F33" s="1" t="s">
        <v>122</v>
      </c>
      <c r="G33" s="1" t="s">
        <v>63</v>
      </c>
      <c r="H33" s="1" t="s">
        <v>25</v>
      </c>
      <c r="I33" s="1" t="s">
        <v>26</v>
      </c>
      <c r="J33" s="1" t="s">
        <v>117</v>
      </c>
      <c r="K33" s="1">
        <v>1</v>
      </c>
      <c r="L33" s="1">
        <v>9200</v>
      </c>
      <c r="M33" s="3">
        <v>0.1</v>
      </c>
      <c r="N33" s="1">
        <v>8280</v>
      </c>
      <c r="O33" s="1">
        <v>5700</v>
      </c>
      <c r="P33" s="1">
        <v>2580</v>
      </c>
      <c r="Q33" s="1">
        <v>4.7</v>
      </c>
      <c r="R33" s="1" t="s">
        <v>38</v>
      </c>
      <c r="S33" s="1" t="s">
        <v>29</v>
      </c>
      <c r="T33" s="1" t="s">
        <v>30</v>
      </c>
      <c r="AA33" s="6"/>
    </row>
    <row r="34" spans="1:27" x14ac:dyDescent="0.45">
      <c r="A34" s="1" t="s">
        <v>171</v>
      </c>
      <c r="B34" s="2">
        <v>45760</v>
      </c>
      <c r="C34" s="1" t="s">
        <v>119</v>
      </c>
      <c r="D34" s="1" t="s">
        <v>120</v>
      </c>
      <c r="E34" s="1" t="s">
        <v>70</v>
      </c>
      <c r="F34" s="1" t="s">
        <v>71</v>
      </c>
      <c r="G34" s="1" t="s">
        <v>72</v>
      </c>
      <c r="H34" s="1" t="s">
        <v>25</v>
      </c>
      <c r="I34" s="1" t="s">
        <v>54</v>
      </c>
      <c r="J34" s="1" t="s">
        <v>55</v>
      </c>
      <c r="K34" s="1">
        <v>3</v>
      </c>
      <c r="L34" s="1">
        <v>2100</v>
      </c>
      <c r="M34" s="3">
        <v>0.15</v>
      </c>
      <c r="N34" s="1">
        <v>5355</v>
      </c>
      <c r="O34" s="1">
        <v>3300</v>
      </c>
      <c r="P34" s="1">
        <v>2055</v>
      </c>
      <c r="Q34" s="1">
        <v>4.3</v>
      </c>
      <c r="R34" s="1" t="s">
        <v>28</v>
      </c>
      <c r="S34" s="1" t="s">
        <v>39</v>
      </c>
      <c r="T34" s="1" t="s">
        <v>30</v>
      </c>
    </row>
    <row r="35" spans="1:27" x14ac:dyDescent="0.45">
      <c r="A35" s="1" t="s">
        <v>172</v>
      </c>
      <c r="B35" s="2">
        <v>45763</v>
      </c>
      <c r="C35" s="1" t="s">
        <v>124</v>
      </c>
      <c r="D35" s="1" t="s">
        <v>125</v>
      </c>
      <c r="E35" s="1" t="s">
        <v>136</v>
      </c>
      <c r="F35" s="1" t="s">
        <v>137</v>
      </c>
      <c r="G35" s="1" t="s">
        <v>89</v>
      </c>
      <c r="H35" s="1" t="s">
        <v>25</v>
      </c>
      <c r="I35" s="1" t="s">
        <v>46</v>
      </c>
      <c r="J35" s="1" t="s">
        <v>47</v>
      </c>
      <c r="K35" s="1">
        <v>5</v>
      </c>
      <c r="L35" s="1">
        <v>1100</v>
      </c>
      <c r="M35" s="3">
        <v>0.05</v>
      </c>
      <c r="N35" s="1">
        <v>5225</v>
      </c>
      <c r="O35" s="1">
        <v>3000</v>
      </c>
      <c r="P35" s="1">
        <v>2225</v>
      </c>
      <c r="Q35" s="1">
        <v>4.5</v>
      </c>
      <c r="R35" s="1" t="s">
        <v>56</v>
      </c>
      <c r="S35" s="1" t="s">
        <v>75</v>
      </c>
      <c r="T35" s="1" t="s">
        <v>30</v>
      </c>
    </row>
    <row r="36" spans="1:27" x14ac:dyDescent="0.45">
      <c r="A36" s="1" t="s">
        <v>173</v>
      </c>
      <c r="B36" s="2">
        <v>45766</v>
      </c>
      <c r="C36" s="1" t="s">
        <v>129</v>
      </c>
      <c r="D36" s="1" t="s">
        <v>130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64</v>
      </c>
      <c r="J36" s="1" t="s">
        <v>65</v>
      </c>
      <c r="K36" s="1">
        <v>1</v>
      </c>
      <c r="L36" s="1">
        <v>72000</v>
      </c>
      <c r="M36" s="3">
        <v>0.1</v>
      </c>
      <c r="N36" s="1">
        <v>64800</v>
      </c>
      <c r="O36" s="1">
        <v>44000</v>
      </c>
      <c r="P36" s="1">
        <v>20800</v>
      </c>
      <c r="Q36" s="1">
        <v>4.9000000000000004</v>
      </c>
      <c r="R36" s="1" t="s">
        <v>98</v>
      </c>
      <c r="S36" s="1" t="s">
        <v>29</v>
      </c>
      <c r="T36" s="1" t="s">
        <v>30</v>
      </c>
    </row>
    <row r="37" spans="1:27" x14ac:dyDescent="0.45">
      <c r="A37" s="1" t="s">
        <v>174</v>
      </c>
      <c r="B37" s="2">
        <v>45769</v>
      </c>
      <c r="C37" s="1" t="s">
        <v>134</v>
      </c>
      <c r="D37" s="1" t="s">
        <v>135</v>
      </c>
      <c r="E37" s="1" t="s">
        <v>141</v>
      </c>
      <c r="F37" s="1" t="s">
        <v>142</v>
      </c>
      <c r="G37" s="1" t="s">
        <v>45</v>
      </c>
      <c r="H37" s="1" t="s">
        <v>25</v>
      </c>
      <c r="I37" s="1" t="s">
        <v>36</v>
      </c>
      <c r="J37" s="1" t="s">
        <v>37</v>
      </c>
      <c r="K37" s="1">
        <v>2</v>
      </c>
      <c r="L37" s="1">
        <v>5200</v>
      </c>
      <c r="M37" s="3">
        <v>0.2</v>
      </c>
      <c r="N37" s="1">
        <v>8320</v>
      </c>
      <c r="O37" s="1">
        <v>5000</v>
      </c>
      <c r="P37" s="1">
        <v>3320</v>
      </c>
      <c r="Q37" s="1">
        <v>4.4000000000000004</v>
      </c>
      <c r="R37" s="1" t="s">
        <v>38</v>
      </c>
      <c r="S37" s="1" t="s">
        <v>39</v>
      </c>
      <c r="T37" s="1" t="s">
        <v>30</v>
      </c>
    </row>
    <row r="38" spans="1:27" x14ac:dyDescent="0.45">
      <c r="A38" s="1" t="s">
        <v>175</v>
      </c>
      <c r="B38" s="2">
        <v>45772</v>
      </c>
      <c r="C38" s="1" t="s">
        <v>139</v>
      </c>
      <c r="D38" s="1" t="s">
        <v>140</v>
      </c>
      <c r="E38" s="1" t="s">
        <v>152</v>
      </c>
      <c r="F38" s="1" t="s">
        <v>153</v>
      </c>
      <c r="G38" s="1" t="s">
        <v>63</v>
      </c>
      <c r="H38" s="1" t="s">
        <v>25</v>
      </c>
      <c r="I38" s="1" t="s">
        <v>73</v>
      </c>
      <c r="J38" s="1" t="s">
        <v>74</v>
      </c>
      <c r="K38" s="1">
        <v>2</v>
      </c>
      <c r="L38" s="1">
        <v>5200</v>
      </c>
      <c r="M38" s="3">
        <v>0.1</v>
      </c>
      <c r="N38" s="1">
        <v>9360</v>
      </c>
      <c r="O38" s="1">
        <v>6100</v>
      </c>
      <c r="P38" s="1">
        <v>3260</v>
      </c>
      <c r="Q38" s="1">
        <v>4.0999999999999996</v>
      </c>
      <c r="R38" s="1" t="s">
        <v>28</v>
      </c>
      <c r="S38" s="1" t="s">
        <v>57</v>
      </c>
      <c r="T38" s="1" t="s">
        <v>30</v>
      </c>
    </row>
    <row r="39" spans="1:27" x14ac:dyDescent="0.45">
      <c r="A39" s="1" t="s">
        <v>176</v>
      </c>
      <c r="B39" s="2">
        <v>45775</v>
      </c>
      <c r="C39" s="1" t="s">
        <v>144</v>
      </c>
      <c r="D39" s="1" t="s">
        <v>145</v>
      </c>
      <c r="E39" s="1" t="s">
        <v>157</v>
      </c>
      <c r="F39" s="1" t="s">
        <v>158</v>
      </c>
      <c r="G39" s="1" t="s">
        <v>89</v>
      </c>
      <c r="H39" s="1" t="s">
        <v>25</v>
      </c>
      <c r="I39" s="1" t="s">
        <v>82</v>
      </c>
      <c r="J39" s="1" t="s">
        <v>83</v>
      </c>
      <c r="K39" s="1">
        <v>4</v>
      </c>
      <c r="L39" s="1">
        <v>1900</v>
      </c>
      <c r="M39" s="3">
        <v>0.15</v>
      </c>
      <c r="N39" s="1">
        <v>6460</v>
      </c>
      <c r="O39" s="1">
        <v>4000</v>
      </c>
      <c r="P39" s="1">
        <v>2460</v>
      </c>
      <c r="Q39" s="1">
        <v>4.5999999999999996</v>
      </c>
      <c r="R39" s="1" t="s">
        <v>66</v>
      </c>
      <c r="S39" s="1" t="s">
        <v>29</v>
      </c>
      <c r="T39" s="1" t="s">
        <v>148</v>
      </c>
    </row>
    <row r="40" spans="1:27" x14ac:dyDescent="0.45">
      <c r="A40" s="1" t="s">
        <v>177</v>
      </c>
      <c r="B40" s="2">
        <v>45778</v>
      </c>
      <c r="C40" s="1" t="s">
        <v>150</v>
      </c>
      <c r="D40" s="1" t="s">
        <v>151</v>
      </c>
      <c r="E40" s="1" t="s">
        <v>102</v>
      </c>
      <c r="F40" s="1" t="s">
        <v>103</v>
      </c>
      <c r="G40" s="1" t="s">
        <v>24</v>
      </c>
      <c r="H40" s="1" t="s">
        <v>25</v>
      </c>
      <c r="I40" s="1" t="s">
        <v>90</v>
      </c>
      <c r="J40" s="1" t="s">
        <v>91</v>
      </c>
      <c r="K40" s="1">
        <v>1</v>
      </c>
      <c r="L40" s="1">
        <v>8500</v>
      </c>
      <c r="M40" s="3">
        <v>0.05</v>
      </c>
      <c r="N40" s="1">
        <v>8075</v>
      </c>
      <c r="O40" s="1">
        <v>5300</v>
      </c>
      <c r="P40" s="1">
        <v>2775</v>
      </c>
      <c r="Q40" s="1">
        <v>4.3</v>
      </c>
      <c r="R40" s="1" t="s">
        <v>38</v>
      </c>
      <c r="S40" s="1" t="s">
        <v>39</v>
      </c>
      <c r="T40" s="1" t="s">
        <v>30</v>
      </c>
    </row>
    <row r="41" spans="1:27" x14ac:dyDescent="0.45">
      <c r="A41" s="1" t="s">
        <v>178</v>
      </c>
      <c r="B41" s="2">
        <v>45781</v>
      </c>
      <c r="C41" s="1" t="s">
        <v>155</v>
      </c>
      <c r="D41" s="1" t="s">
        <v>156</v>
      </c>
      <c r="E41" s="1" t="s">
        <v>146</v>
      </c>
      <c r="F41" s="1" t="s">
        <v>147</v>
      </c>
      <c r="G41" s="1" t="s">
        <v>53</v>
      </c>
      <c r="H41" s="1" t="s">
        <v>25</v>
      </c>
      <c r="I41" s="1" t="s">
        <v>104</v>
      </c>
      <c r="J41" s="1" t="s">
        <v>105</v>
      </c>
      <c r="K41" s="1">
        <v>2</v>
      </c>
      <c r="L41" s="1">
        <v>6800</v>
      </c>
      <c r="M41" s="3">
        <v>0.1</v>
      </c>
      <c r="N41" s="1">
        <v>12240</v>
      </c>
      <c r="O41" s="1">
        <v>8000</v>
      </c>
      <c r="P41" s="1">
        <v>4240</v>
      </c>
      <c r="Q41" s="1">
        <v>4.2</v>
      </c>
      <c r="R41" s="1" t="s">
        <v>28</v>
      </c>
      <c r="S41" s="1" t="s">
        <v>57</v>
      </c>
      <c r="T41" s="1" t="s">
        <v>30</v>
      </c>
    </row>
    <row r="42" spans="1:27" x14ac:dyDescent="0.45">
      <c r="A42" s="1" t="s">
        <v>179</v>
      </c>
      <c r="B42" s="2">
        <v>45784</v>
      </c>
      <c r="C42" s="1" t="s">
        <v>20</v>
      </c>
      <c r="D42" s="1" t="s">
        <v>21</v>
      </c>
      <c r="E42" s="1" t="s">
        <v>80</v>
      </c>
      <c r="F42" s="1" t="s">
        <v>81</v>
      </c>
      <c r="G42" s="1" t="s">
        <v>45</v>
      </c>
      <c r="H42" s="1" t="s">
        <v>25</v>
      </c>
      <c r="I42" s="1" t="s">
        <v>26</v>
      </c>
      <c r="J42" s="1" t="s">
        <v>27</v>
      </c>
      <c r="K42" s="1">
        <v>3</v>
      </c>
      <c r="L42" s="1">
        <v>2800</v>
      </c>
      <c r="M42" s="3">
        <v>0.15</v>
      </c>
      <c r="N42" s="1">
        <v>7140</v>
      </c>
      <c r="O42" s="1">
        <v>4200</v>
      </c>
      <c r="P42" s="1">
        <v>2940</v>
      </c>
      <c r="Q42" s="1">
        <v>4.7</v>
      </c>
      <c r="R42" s="1" t="s">
        <v>38</v>
      </c>
      <c r="S42" s="1" t="s">
        <v>29</v>
      </c>
      <c r="T42" s="1" t="s">
        <v>30</v>
      </c>
    </row>
    <row r="43" spans="1:27" x14ac:dyDescent="0.45">
      <c r="A43" s="1" t="s">
        <v>180</v>
      </c>
      <c r="B43" s="2">
        <v>45787</v>
      </c>
      <c r="C43" s="1" t="s">
        <v>32</v>
      </c>
      <c r="D43" s="1" t="s">
        <v>33</v>
      </c>
      <c r="E43" s="1" t="s">
        <v>87</v>
      </c>
      <c r="F43" s="1" t="s">
        <v>88</v>
      </c>
      <c r="G43" s="1" t="s">
        <v>89</v>
      </c>
      <c r="H43" s="1" t="s">
        <v>25</v>
      </c>
      <c r="I43" s="1" t="s">
        <v>36</v>
      </c>
      <c r="J43" s="1" t="s">
        <v>37</v>
      </c>
      <c r="K43" s="1">
        <v>4</v>
      </c>
      <c r="L43" s="1">
        <v>700</v>
      </c>
      <c r="M43" s="3">
        <v>0.1</v>
      </c>
      <c r="N43" s="1">
        <v>2520</v>
      </c>
      <c r="O43" s="1">
        <v>1400</v>
      </c>
      <c r="P43" s="1">
        <v>1120</v>
      </c>
      <c r="Q43" s="1">
        <v>3.9</v>
      </c>
      <c r="R43" s="1" t="s">
        <v>28</v>
      </c>
      <c r="S43" s="1" t="s">
        <v>39</v>
      </c>
      <c r="T43" s="1" t="s">
        <v>30</v>
      </c>
    </row>
    <row r="44" spans="1:27" x14ac:dyDescent="0.45">
      <c r="A44" s="1" t="s">
        <v>181</v>
      </c>
      <c r="B44" s="2">
        <v>45790</v>
      </c>
      <c r="C44" s="1" t="s">
        <v>41</v>
      </c>
      <c r="D44" s="1" t="s">
        <v>42</v>
      </c>
      <c r="E44" s="1" t="s">
        <v>51</v>
      </c>
      <c r="F44" s="1" t="s">
        <v>52</v>
      </c>
      <c r="G44" s="1" t="s">
        <v>53</v>
      </c>
      <c r="H44" s="1" t="s">
        <v>25</v>
      </c>
      <c r="I44" s="1" t="s">
        <v>46</v>
      </c>
      <c r="J44" s="1" t="s">
        <v>47</v>
      </c>
      <c r="K44" s="1">
        <v>1</v>
      </c>
      <c r="L44" s="1">
        <v>9200</v>
      </c>
      <c r="M44" s="3">
        <v>0.05</v>
      </c>
      <c r="N44" s="1">
        <v>8740</v>
      </c>
      <c r="O44" s="1">
        <v>5600</v>
      </c>
      <c r="P44" s="1">
        <v>3140</v>
      </c>
      <c r="Q44" s="1">
        <v>4.5</v>
      </c>
      <c r="R44" s="1" t="s">
        <v>56</v>
      </c>
      <c r="S44" s="1" t="s">
        <v>29</v>
      </c>
      <c r="T44" s="1" t="s">
        <v>30</v>
      </c>
    </row>
    <row r="45" spans="1:27" x14ac:dyDescent="0.45">
      <c r="A45" s="1" t="s">
        <v>182</v>
      </c>
      <c r="B45" s="2">
        <v>45793</v>
      </c>
      <c r="C45" s="1" t="s">
        <v>49</v>
      </c>
      <c r="D45" s="1" t="s">
        <v>50</v>
      </c>
      <c r="E45" s="1" t="s">
        <v>34</v>
      </c>
      <c r="F45" s="1" t="s">
        <v>35</v>
      </c>
      <c r="G45" s="1" t="s">
        <v>24</v>
      </c>
      <c r="H45" s="1" t="s">
        <v>25</v>
      </c>
      <c r="I45" s="1" t="s">
        <v>54</v>
      </c>
      <c r="J45" s="1" t="s">
        <v>55</v>
      </c>
      <c r="K45" s="1">
        <v>2</v>
      </c>
      <c r="L45" s="1">
        <v>48000</v>
      </c>
      <c r="M45" s="3">
        <v>0.1</v>
      </c>
      <c r="N45" s="1">
        <v>86400</v>
      </c>
      <c r="O45" s="1">
        <v>59000</v>
      </c>
      <c r="P45" s="1">
        <v>27400</v>
      </c>
      <c r="Q45" s="1">
        <v>4.8</v>
      </c>
      <c r="R45" s="1" t="s">
        <v>38</v>
      </c>
      <c r="S45" s="1" t="s">
        <v>75</v>
      </c>
      <c r="T45" s="1" t="s">
        <v>30</v>
      </c>
    </row>
    <row r="46" spans="1:27" x14ac:dyDescent="0.45">
      <c r="A46" s="1" t="s">
        <v>183</v>
      </c>
      <c r="B46" s="2">
        <v>45796</v>
      </c>
      <c r="C46" s="1" t="s">
        <v>59</v>
      </c>
      <c r="D46" s="1" t="s">
        <v>60</v>
      </c>
      <c r="E46" s="1" t="s">
        <v>61</v>
      </c>
      <c r="F46" s="1" t="s">
        <v>62</v>
      </c>
      <c r="G46" s="1" t="s">
        <v>63</v>
      </c>
      <c r="H46" s="1" t="s">
        <v>25</v>
      </c>
      <c r="I46" s="1" t="s">
        <v>64</v>
      </c>
      <c r="J46" s="1" t="s">
        <v>65</v>
      </c>
      <c r="K46" s="1">
        <v>3</v>
      </c>
      <c r="L46" s="1">
        <v>3900</v>
      </c>
      <c r="M46" s="3">
        <v>0.15</v>
      </c>
      <c r="N46" s="1">
        <v>9945</v>
      </c>
      <c r="O46" s="1">
        <v>6000</v>
      </c>
      <c r="P46" s="1">
        <v>3945</v>
      </c>
      <c r="Q46" s="1">
        <v>4</v>
      </c>
      <c r="R46" s="1" t="s">
        <v>28</v>
      </c>
      <c r="S46" s="1" t="s">
        <v>57</v>
      </c>
      <c r="T46" s="1" t="s">
        <v>76</v>
      </c>
    </row>
    <row r="47" spans="1:27" x14ac:dyDescent="0.45">
      <c r="A47" s="1" t="s">
        <v>184</v>
      </c>
      <c r="B47" s="2">
        <v>45799</v>
      </c>
      <c r="C47" s="1" t="s">
        <v>68</v>
      </c>
      <c r="D47" s="1" t="s">
        <v>69</v>
      </c>
      <c r="E47" s="1" t="s">
        <v>43</v>
      </c>
      <c r="F47" s="1" t="s">
        <v>44</v>
      </c>
      <c r="G47" s="1" t="s">
        <v>45</v>
      </c>
      <c r="H47" s="1" t="s">
        <v>25</v>
      </c>
      <c r="I47" s="1" t="s">
        <v>73</v>
      </c>
      <c r="J47" s="1" t="s">
        <v>74</v>
      </c>
      <c r="K47" s="1">
        <v>4</v>
      </c>
      <c r="L47" s="1">
        <v>950</v>
      </c>
      <c r="M47" s="3">
        <v>0.05</v>
      </c>
      <c r="N47" s="1">
        <v>3610</v>
      </c>
      <c r="O47" s="1">
        <v>2200</v>
      </c>
      <c r="P47" s="1">
        <v>1410</v>
      </c>
      <c r="Q47" s="1">
        <v>4.2</v>
      </c>
      <c r="R47" s="1" t="s">
        <v>66</v>
      </c>
      <c r="S47" s="1" t="s">
        <v>29</v>
      </c>
      <c r="T47" s="1" t="s">
        <v>30</v>
      </c>
    </row>
    <row r="48" spans="1:27" x14ac:dyDescent="0.45">
      <c r="A48" s="1" t="s">
        <v>185</v>
      </c>
      <c r="B48" s="2">
        <v>45802</v>
      </c>
      <c r="C48" s="1" t="s">
        <v>78</v>
      </c>
      <c r="D48" s="1" t="s">
        <v>79</v>
      </c>
      <c r="E48" s="1" t="s">
        <v>95</v>
      </c>
      <c r="F48" s="1" t="s">
        <v>96</v>
      </c>
      <c r="G48" s="1" t="s">
        <v>53</v>
      </c>
      <c r="H48" s="1" t="s">
        <v>25</v>
      </c>
      <c r="I48" s="1" t="s">
        <v>82</v>
      </c>
      <c r="J48" s="1" t="s">
        <v>83</v>
      </c>
      <c r="K48" s="1">
        <v>1</v>
      </c>
      <c r="L48" s="1">
        <v>13500</v>
      </c>
      <c r="M48" s="3">
        <v>0.1</v>
      </c>
      <c r="N48" s="1">
        <v>12150</v>
      </c>
      <c r="O48" s="1">
        <v>8000</v>
      </c>
      <c r="P48" s="1">
        <v>4150</v>
      </c>
      <c r="Q48" s="1">
        <v>4.5999999999999996</v>
      </c>
      <c r="R48" s="1" t="s">
        <v>98</v>
      </c>
      <c r="S48" s="1" t="s">
        <v>29</v>
      </c>
      <c r="T48" s="1" t="s">
        <v>30</v>
      </c>
    </row>
    <row r="49" spans="1:20" x14ac:dyDescent="0.45">
      <c r="A49" s="1" t="s">
        <v>186</v>
      </c>
      <c r="B49" s="2">
        <v>45805</v>
      </c>
      <c r="C49" s="1" t="s">
        <v>85</v>
      </c>
      <c r="D49" s="1" t="s">
        <v>86</v>
      </c>
      <c r="E49" s="1" t="s">
        <v>109</v>
      </c>
      <c r="F49" s="1" t="s">
        <v>110</v>
      </c>
      <c r="G49" s="1" t="s">
        <v>24</v>
      </c>
      <c r="H49" s="1" t="s">
        <v>25</v>
      </c>
      <c r="I49" s="1" t="s">
        <v>90</v>
      </c>
      <c r="J49" s="1" t="s">
        <v>91</v>
      </c>
      <c r="K49" s="1">
        <v>2</v>
      </c>
      <c r="L49" s="1">
        <v>3200</v>
      </c>
      <c r="M49" s="3">
        <v>0.2</v>
      </c>
      <c r="N49" s="1">
        <v>5120</v>
      </c>
      <c r="O49" s="1">
        <v>3000</v>
      </c>
      <c r="P49" s="1">
        <v>2120</v>
      </c>
      <c r="Q49" s="1">
        <v>4.0999999999999996</v>
      </c>
      <c r="R49" s="1" t="s">
        <v>28</v>
      </c>
      <c r="S49" s="1" t="s">
        <v>39</v>
      </c>
      <c r="T49" s="1" t="s">
        <v>30</v>
      </c>
    </row>
    <row r="50" spans="1:20" x14ac:dyDescent="0.45">
      <c r="A50" s="1" t="s">
        <v>187</v>
      </c>
      <c r="B50" s="2">
        <v>45808</v>
      </c>
      <c r="C50" s="1" t="s">
        <v>93</v>
      </c>
      <c r="D50" s="1" t="s">
        <v>94</v>
      </c>
      <c r="E50" s="1" t="s">
        <v>131</v>
      </c>
      <c r="F50" s="1" t="s">
        <v>132</v>
      </c>
      <c r="G50" s="1" t="s">
        <v>24</v>
      </c>
      <c r="H50" s="1" t="s">
        <v>25</v>
      </c>
      <c r="I50" s="1" t="s">
        <v>36</v>
      </c>
      <c r="J50" s="1" t="s">
        <v>97</v>
      </c>
      <c r="K50" s="1">
        <v>2</v>
      </c>
      <c r="L50" s="1">
        <v>25000</v>
      </c>
      <c r="M50" s="3">
        <v>0.15</v>
      </c>
      <c r="N50" s="1">
        <v>42500</v>
      </c>
      <c r="O50" s="1">
        <v>30000</v>
      </c>
      <c r="P50" s="1">
        <v>12500</v>
      </c>
      <c r="Q50" s="1">
        <v>4.7</v>
      </c>
      <c r="R50" s="1" t="s">
        <v>38</v>
      </c>
      <c r="S50" s="1" t="s">
        <v>29</v>
      </c>
      <c r="T50" s="1" t="s">
        <v>30</v>
      </c>
    </row>
    <row r="51" spans="1:20" x14ac:dyDescent="0.45">
      <c r="A51" s="1" t="s">
        <v>188</v>
      </c>
      <c r="B51" s="2">
        <v>45811</v>
      </c>
      <c r="C51" s="1" t="s">
        <v>100</v>
      </c>
      <c r="D51" s="1" t="s">
        <v>101</v>
      </c>
      <c r="E51" s="1" t="s">
        <v>115</v>
      </c>
      <c r="F51" s="1" t="s">
        <v>116</v>
      </c>
      <c r="G51" s="1" t="s">
        <v>45</v>
      </c>
      <c r="H51" s="1" t="s">
        <v>25</v>
      </c>
      <c r="I51" s="1" t="s">
        <v>104</v>
      </c>
      <c r="J51" s="1" t="s">
        <v>105</v>
      </c>
      <c r="K51" s="1">
        <v>2</v>
      </c>
      <c r="L51" s="1">
        <v>2800</v>
      </c>
      <c r="M51" s="3">
        <v>0.1</v>
      </c>
      <c r="N51" s="1">
        <v>5040</v>
      </c>
      <c r="O51" s="1">
        <v>3100</v>
      </c>
      <c r="P51" s="1">
        <v>1940</v>
      </c>
      <c r="Q51" s="1">
        <v>4.3</v>
      </c>
      <c r="R51" s="1" t="s">
        <v>28</v>
      </c>
      <c r="S51" s="1" t="s">
        <v>75</v>
      </c>
      <c r="T51" s="1" t="s">
        <v>30</v>
      </c>
    </row>
  </sheetData>
  <dataValidations count="1">
    <dataValidation type="list" allowBlank="1" showInputMessage="1" showErrorMessage="1" sqref="W8 W2" xr:uid="{712EE2A0-C90E-405F-B77E-F2DC11AF32D6}">
      <formula1>$Z$7:$Z$15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2026-09-28T18:06:57Z</dcterms:modified>
</cp:coreProperties>
</file>