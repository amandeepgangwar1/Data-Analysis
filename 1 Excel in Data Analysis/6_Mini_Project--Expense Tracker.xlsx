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E73DDEAB-B830-47E9-A466-D52FEAFF58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2-Decemb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L18" i="1"/>
  <c r="L19" i="1"/>
  <c r="L16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G2" i="1"/>
  <c r="H2" i="1"/>
  <c r="F3" i="1"/>
  <c r="F4" i="1"/>
  <c r="F5" i="1"/>
  <c r="F6" i="1"/>
  <c r="F7" i="1"/>
  <c r="F8" i="1"/>
  <c r="F9" i="1"/>
  <c r="F10" i="1"/>
  <c r="F11" i="1"/>
  <c r="F2" i="1"/>
  <c r="K17" i="1" s="1"/>
  <c r="E3" i="1"/>
  <c r="E4" i="1"/>
  <c r="E5" i="1"/>
  <c r="E6" i="1"/>
  <c r="E7" i="1"/>
  <c r="E8" i="1"/>
  <c r="E9" i="1"/>
  <c r="E10" i="1"/>
  <c r="E11" i="1"/>
  <c r="E2" i="1"/>
  <c r="K15" i="1"/>
  <c r="K14" i="1"/>
  <c r="K19" i="1" l="1"/>
  <c r="K18" i="1"/>
  <c r="K16" i="1"/>
</calcChain>
</file>

<file path=xl/sharedStrings.xml><?xml version="1.0" encoding="utf-8"?>
<sst xmlns="http://schemas.openxmlformats.org/spreadsheetml/2006/main" count="38" uniqueCount="25">
  <si>
    <t>S.No.</t>
  </si>
  <si>
    <t>Description</t>
  </si>
  <si>
    <t>Type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</si>
  <si>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</si>
  <si>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</si>
  <si>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</si>
  <si>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</si>
  <si>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</si>
  <si>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</si>
  <si>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</si>
  <si>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</si>
  <si>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</si>
  <si>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</si>
  <si>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Total of the Day</t>
  </si>
  <si>
    <t>Dinner</t>
  </si>
  <si>
    <t>Birthday of a friend</t>
  </si>
  <si>
    <t>Fun</t>
  </si>
  <si>
    <t>Average Transaction Value</t>
  </si>
  <si>
    <t>Amount</t>
  </si>
  <si>
    <t>Food Expenses</t>
  </si>
  <si>
    <t>Fun Expenses</t>
  </si>
  <si>
    <t>Office Expenses</t>
  </si>
  <si>
    <t>Investment Expenses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</si>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</sst>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J13" sqref="J13:L13"/>
    </sheetView>
  </sheetViews>
  <sheetFormatPr defaultRowHeight="14.25" x14ac:dyDescent="0.45"/>
  <cols>
    <col min="1" max="12" width="15.33203125" style="1" customWidth="1"/>
  </cols>
  <sheetData>
    <row r="1" spans="1:12" ht="19.899999999999999" customHeight="1" x14ac:dyDescent="0.45">
      <c r="A1" s="13" t="s">
        <v>0</v>
      </c>
      <c r="B1" s="13" t="s">
        <v>1</v>
      </c>
      <c r="C1" s="13" t="s">
        <v>2</v>
      </c>
      <c r="D1" s="13" t="s">
        <v>18</v>
      </c>
      <c r="E1" s="13" t="s">
        <v>4</v>
      </c>
      <c r="F1" s="13" t="s">
        <v>16</v>
      </c>
      <c r="G1" s="13" t="s">
        <v>9</v>
      </c>
      <c r="H1" s="13" t="s">
        <v>11</v>
      </c>
      <c r="I1" s="2"/>
    </row>
    <row r="2" spans="1:12" ht="19.899999999999999" customHeight="1" x14ac:dyDescent="0.45">
      <c r="A2" s="11">
        <v>1</v>
      </c>
      <c r="B2" s="11" t="s">
        <v>3</v>
      </c>
      <c r="C2" s="11" t="s">
        <v>4</v>
      </c>
      <c r="D2" s="11">
        <v>15</v>
      </c>
      <c r="E2" s="11">
        <f>COUNTIF(C2,"food")*D2</f>
        <v>15</v>
      </c>
      <c r="F2" s="11">
        <f>COUNTIF(C2,"fun")*D2</f>
        <v>0</v>
      </c>
      <c r="G2" s="11">
        <f>COUNTIF(C2,"office")*D2</f>
        <v>0</v>
      </c>
      <c r="H2" s="11">
        <f>COUNTIF(C2,"investment")*D2</f>
        <v>0</v>
      </c>
    </row>
    <row r="3" spans="1:12" ht="19.899999999999999" customHeight="1" x14ac:dyDescent="0.45">
      <c r="A3" s="11">
        <v>2</v>
      </c>
      <c r="B3" s="11" t="s">
        <v>5</v>
      </c>
      <c r="C3" s="11" t="s">
        <v>4</v>
      </c>
      <c r="D3" s="11">
        <v>8</v>
      </c>
      <c r="E3" s="11">
        <f t="shared" ref="E3:E11" si="0">COUNTIF(C3,"food")*D3</f>
        <v>8</v>
      </c>
      <c r="F3" s="11">
        <f t="shared" ref="F3:F11" si="1">COUNTIF(C3,"fun")*D3</f>
        <v>0</v>
      </c>
      <c r="G3" s="11">
        <f t="shared" ref="G3:G11" si="2">COUNTIF(C3,"office")*D3</f>
        <v>0</v>
      </c>
      <c r="H3" s="11">
        <f t="shared" ref="H3:H11" si="3">COUNTIF(C3,"investment")*D3</f>
        <v>0</v>
      </c>
    </row>
    <row r="4" spans="1:12" ht="19.899999999999999" customHeight="1" x14ac:dyDescent="0.45">
      <c r="A4" s="11">
        <v>3</v>
      </c>
      <c r="B4" s="11" t="s">
        <v>6</v>
      </c>
      <c r="C4" s="11" t="s">
        <v>4</v>
      </c>
      <c r="D4" s="11">
        <v>20</v>
      </c>
      <c r="E4" s="11">
        <f t="shared" si="0"/>
        <v>20</v>
      </c>
      <c r="F4" s="11">
        <f t="shared" si="1"/>
        <v>0</v>
      </c>
      <c r="G4" s="11">
        <f t="shared" si="2"/>
        <v>0</v>
      </c>
      <c r="H4" s="11">
        <f t="shared" si="3"/>
        <v>0</v>
      </c>
    </row>
    <row r="5" spans="1:12" ht="19.899999999999999" customHeight="1" x14ac:dyDescent="0.45">
      <c r="A5" s="11">
        <v>4</v>
      </c>
      <c r="B5" s="11" t="s">
        <v>7</v>
      </c>
      <c r="C5" s="11" t="s">
        <v>4</v>
      </c>
      <c r="D5" s="11">
        <v>80</v>
      </c>
      <c r="E5" s="11">
        <f t="shared" si="0"/>
        <v>80</v>
      </c>
      <c r="F5" s="11">
        <f t="shared" si="1"/>
        <v>0</v>
      </c>
      <c r="G5" s="11">
        <f t="shared" si="2"/>
        <v>0</v>
      </c>
      <c r="H5" s="11">
        <f t="shared" si="3"/>
        <v>0</v>
      </c>
    </row>
    <row r="6" spans="1:12" ht="19.899999999999999" customHeight="1" x14ac:dyDescent="0.45">
      <c r="A6" s="11">
        <v>5</v>
      </c>
      <c r="B6" s="11" t="s">
        <v>3</v>
      </c>
      <c r="C6" s="11" t="s">
        <v>4</v>
      </c>
      <c r="D6" s="11">
        <v>10</v>
      </c>
      <c r="E6" s="11">
        <f t="shared" si="0"/>
        <v>10</v>
      </c>
      <c r="F6" s="11">
        <f t="shared" si="1"/>
        <v>0</v>
      </c>
      <c r="G6" s="11">
        <f t="shared" si="2"/>
        <v>0</v>
      </c>
      <c r="H6" s="11">
        <f t="shared" si="3"/>
        <v>0</v>
      </c>
    </row>
    <row r="7" spans="1:12" ht="19.899999999999999" customHeight="1" x14ac:dyDescent="0.45">
      <c r="A7" s="11">
        <v>6</v>
      </c>
      <c r="B7" s="11" t="s">
        <v>8</v>
      </c>
      <c r="C7" s="11" t="s">
        <v>9</v>
      </c>
      <c r="D7" s="11">
        <v>40</v>
      </c>
      <c r="E7" s="11">
        <f t="shared" si="0"/>
        <v>0</v>
      </c>
      <c r="F7" s="11">
        <f t="shared" si="1"/>
        <v>0</v>
      </c>
      <c r="G7" s="11">
        <f t="shared" si="2"/>
        <v>40</v>
      </c>
      <c r="H7" s="11">
        <f t="shared" si="3"/>
        <v>0</v>
      </c>
    </row>
    <row r="8" spans="1:12" ht="19.899999999999999" customHeight="1" x14ac:dyDescent="0.45">
      <c r="A8" s="11">
        <v>7</v>
      </c>
      <c r="B8" s="11" t="s">
        <v>10</v>
      </c>
      <c r="C8" s="11" t="s">
        <v>11</v>
      </c>
      <c r="D8" s="11">
        <v>1000</v>
      </c>
      <c r="E8" s="11">
        <f t="shared" si="0"/>
        <v>0</v>
      </c>
      <c r="F8" s="11">
        <f t="shared" si="1"/>
        <v>0</v>
      </c>
      <c r="G8" s="11">
        <f t="shared" si="2"/>
        <v>0</v>
      </c>
      <c r="H8" s="11">
        <f t="shared" si="3"/>
        <v>1000</v>
      </c>
    </row>
    <row r="9" spans="1:12" ht="19.899999999999999" customHeight="1" x14ac:dyDescent="0.45">
      <c r="A9" s="11">
        <v>8</v>
      </c>
      <c r="B9" s="11" t="s">
        <v>12</v>
      </c>
      <c r="C9" s="11" t="s">
        <v>11</v>
      </c>
      <c r="D9" s="11">
        <v>2000</v>
      </c>
      <c r="E9" s="11">
        <f t="shared" si="0"/>
        <v>0</v>
      </c>
      <c r="F9" s="11">
        <f t="shared" si="1"/>
        <v>0</v>
      </c>
      <c r="G9" s="11">
        <f t="shared" si="2"/>
        <v>0</v>
      </c>
      <c r="H9" s="11">
        <f t="shared" si="3"/>
        <v>2000</v>
      </c>
    </row>
    <row r="10" spans="1:12" ht="19.899999999999999" customHeight="1" x14ac:dyDescent="0.45">
      <c r="A10" s="11">
        <v>9</v>
      </c>
      <c r="B10" s="11" t="s">
        <v>14</v>
      </c>
      <c r="C10" s="11" t="s">
        <v>4</v>
      </c>
      <c r="D10" s="11">
        <v>90</v>
      </c>
      <c r="E10" s="11">
        <f t="shared" si="0"/>
        <v>90</v>
      </c>
      <c r="F10" s="11">
        <f t="shared" si="1"/>
        <v>0</v>
      </c>
      <c r="G10" s="11">
        <f t="shared" si="2"/>
        <v>0</v>
      </c>
      <c r="H10" s="11">
        <f t="shared" si="3"/>
        <v>0</v>
      </c>
    </row>
    <row r="11" spans="1:12" ht="27" customHeight="1" x14ac:dyDescent="0.45">
      <c r="A11" s="11">
        <v>10</v>
      </c>
      <c r="B11" s="12" t="s">
        <v>15</v>
      </c>
      <c r="C11" s="11" t="s">
        <v>16</v>
      </c>
      <c r="D11" s="11">
        <v>300</v>
      </c>
      <c r="E11" s="11">
        <f t="shared" si="0"/>
        <v>0</v>
      </c>
      <c r="F11" s="11">
        <f t="shared" si="1"/>
        <v>300</v>
      </c>
      <c r="G11" s="11">
        <f t="shared" si="2"/>
        <v>0</v>
      </c>
      <c r="H11" s="11">
        <f t="shared" si="3"/>
        <v>0</v>
      </c>
    </row>
    <row r="12" spans="1:12" ht="19.899999999999999" customHeight="1" thickBot="1" x14ac:dyDescent="0.5"/>
    <row r="13" spans="1:12" ht="18.399999999999999" customHeight="1" x14ac:dyDescent="0.45">
      <c r="J13" s="14"/>
      <c r="K13" s="15" t="s">
        <v>18</v>
      </c>
      <c r="L13" s="16" t="s">
        <v>23</v>
      </c>
    </row>
    <row r="14" spans="1:12" ht="22.5" customHeight="1" x14ac:dyDescent="0.45">
      <c r="J14" s="8" t="s">
        <v>13</v>
      </c>
      <c r="K14" s="3">
        <f>SUM(D2:D11)</f>
        <v>3563</v>
      </c>
      <c r="L14" s="4" t="s">
        <v>24</v>
      </c>
    </row>
    <row r="15" spans="1:12" ht="25.9" customHeight="1" x14ac:dyDescent="0.45">
      <c r="J15" s="9" t="s">
        <v>17</v>
      </c>
      <c r="K15" s="3">
        <f>AVERAGE(D2:D11)</f>
        <v>356.3</v>
      </c>
      <c r="L15" s="4" t="s">
        <v>24</v>
      </c>
    </row>
    <row r="16" spans="1:12" ht="22.5" customHeight="1" x14ac:dyDescent="0.45">
      <c r="J16" s="8" t="s">
        <v>19</v>
      </c>
      <c r="K16" s="3">
        <f>SUM(E2:E11)</f>
        <v>223</v>
      </c>
      <c r="L16" s="5">
        <f>K16/SUM($K$16:$K$19)*100</f>
        <v>6.2587706988492853</v>
      </c>
    </row>
    <row r="17" spans="10:12" ht="21.4" customHeight="1" x14ac:dyDescent="0.45">
      <c r="J17" s="8" t="s">
        <v>20</v>
      </c>
      <c r="K17" s="3">
        <f>SUM(F2:F11)</f>
        <v>300</v>
      </c>
      <c r="L17" s="5">
        <f t="shared" ref="L17:L19" si="4">K17/SUM($K$16:$K$19)*100</f>
        <v>8.4198708953129398</v>
      </c>
    </row>
    <row r="18" spans="10:12" ht="22.25" customHeight="1" x14ac:dyDescent="0.45">
      <c r="J18" s="8" t="s">
        <v>21</v>
      </c>
      <c r="K18" s="3">
        <f>SUM(G2:G11)</f>
        <v>40</v>
      </c>
      <c r="L18" s="5">
        <f t="shared" si="4"/>
        <v>1.1226494527083919</v>
      </c>
    </row>
    <row r="19" spans="10:12" ht="26.75" customHeight="1" thickBot="1" x14ac:dyDescent="0.5">
      <c r="J19" s="10" t="s">
        <v>22</v>
      </c>
      <c r="K19" s="6">
        <f>SUM(H2:H11)</f>
        <v>3000</v>
      </c>
      <c r="L19" s="7">
        <f t="shared" si="4"/>
        <v>84.198708953129383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94C6-870C-48AA-8835-275C4DD25A2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12-December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2026-03-15T10:47:58Z</dcterms:modified>
</cp:coreProperties>
</file>